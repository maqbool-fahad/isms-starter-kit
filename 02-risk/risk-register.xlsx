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fahadmaqbool/Desktop/"/>
    </mc:Choice>
  </mc:AlternateContent>
  <xr:revisionPtr revIDLastSave="0" documentId="13_ncr:1_{57232856-EB98-DF42-9888-383C521354EB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Risk Register" sheetId="1" r:id="rId1"/>
  </sheets>
  <definedNames>
    <definedName name="_xlnm._FilterDatabase" localSheetId="0" hidden="1">'Risk Register'!$A$1:$N$31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1" i="1" l="1"/>
  <c r="H31" i="1" s="1"/>
  <c r="G30" i="1"/>
  <c r="H30" i="1" s="1"/>
  <c r="G29" i="1"/>
  <c r="H29" i="1" s="1"/>
  <c r="G28" i="1"/>
  <c r="H28" i="1" s="1"/>
  <c r="G27" i="1"/>
  <c r="H27" i="1" s="1"/>
  <c r="G26" i="1"/>
  <c r="H26" i="1" s="1"/>
  <c r="G25" i="1"/>
  <c r="H25" i="1" s="1"/>
  <c r="G24" i="1"/>
  <c r="H24" i="1" s="1"/>
  <c r="G23" i="1"/>
  <c r="H23" i="1" s="1"/>
  <c r="G22" i="1"/>
  <c r="H22" i="1" s="1"/>
  <c r="G21" i="1"/>
  <c r="H21" i="1" s="1"/>
  <c r="G20" i="1"/>
  <c r="H20" i="1" s="1"/>
  <c r="G19" i="1"/>
  <c r="H19" i="1" s="1"/>
  <c r="G18" i="1"/>
  <c r="H18" i="1" s="1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<sst xmlns="http://schemas.openxmlformats.org/spreadsheetml/2006/main" count="284" uniqueCount="187">
  <si>
    <t>ID</t>
  </si>
  <si>
    <t>Asset</t>
  </si>
  <si>
    <t>Threat</t>
  </si>
  <si>
    <t>Vulnerability</t>
  </si>
  <si>
    <t>Likelihood</t>
  </si>
  <si>
    <t>Impact</t>
  </si>
  <si>
    <t>Score</t>
  </si>
  <si>
    <t>Level</t>
  </si>
  <si>
    <t>Existing controls</t>
  </si>
  <si>
    <t>Treatment</t>
  </si>
  <si>
    <t>Planned control</t>
  </si>
  <si>
    <t>Owner</t>
  </si>
  <si>
    <t>Due date</t>
  </si>
  <si>
    <t>Status</t>
  </si>
  <si>
    <t>R01</t>
  </si>
  <si>
    <t>Microsoft 365 and Entra ID accounts</t>
  </si>
  <si>
    <t>Phishing leads to account takeover</t>
  </si>
  <si>
    <t>Staff not trained to spot phishing; MFA only partly enforced</t>
  </si>
  <si>
    <t>Spam filtering in Microsoft 365; MFA on email for some staff</t>
  </si>
  <si>
    <t>Reduce</t>
  </si>
  <si>
    <t>Enforce MFA for all accounts, passkeys for administrators, annual phishing awareness training</t>
  </si>
  <si>
    <t>ISMS Manager</t>
  </si>
  <si>
    <t>In progress</t>
  </si>
  <si>
    <t>R02</t>
  </si>
  <si>
    <t>Azure production environment</t>
  </si>
  <si>
    <t>Administrator account compromised</t>
  </si>
  <si>
    <t>Not all admin accounts use MFA or passkeys; admin rights are broad</t>
  </si>
  <si>
    <t>Sign-in through Entra ID</t>
  </si>
  <si>
    <t>Require passkeys or hardware security keys for all admins; apply role-based access and least privilege</t>
  </si>
  <si>
    <t>Head of Engineering</t>
  </si>
  <si>
    <t>Open</t>
  </si>
  <si>
    <t>R03</t>
  </si>
  <si>
    <t>Azure SQL customer database</t>
  </si>
  <si>
    <t>Customer data exposed</t>
  </si>
  <si>
    <t>Network access and firewall settings not reviewed regularly</t>
  </si>
  <si>
    <t>Encryption at rest (Azure default)</t>
  </si>
  <si>
    <t>Restrict access to private endpoints only; quarterly review of database configuration</t>
  </si>
  <si>
    <t>R04</t>
  </si>
  <si>
    <t>Company laptops</t>
  </si>
  <si>
    <t>Malware through unpatched software</t>
  </si>
  <si>
    <t>No documented patch process or deadline</t>
  </si>
  <si>
    <t>Automatic Windows updates (not monitored)</t>
  </si>
  <si>
    <t>Define 14-day patch deadline for critical updates and monitor compliance through device management</t>
  </si>
  <si>
    <t>IT Administrator</t>
  </si>
  <si>
    <t>R05</t>
  </si>
  <si>
    <t>Lost or stolen device exposes data</t>
  </si>
  <si>
    <t>Disk encryption exists but is not enforced or verified</t>
  </si>
  <si>
    <t>Disk encryption on most laptops</t>
  </si>
  <si>
    <t>Enforce and verify disk encryption on every laptop; enable remote wipe</t>
  </si>
  <si>
    <t>R06</t>
  </si>
  <si>
    <t>Personal phones used for email</t>
  </si>
  <si>
    <t>Company email data leaks from unmanaged phones</t>
  </si>
  <si>
    <t>No device management, screen lock or app protection rules</t>
  </si>
  <si>
    <t>None</t>
  </si>
  <si>
    <t>Require app protection policy for work email (Microsoft Intune) or restrict email to managed apps</t>
  </si>
  <si>
    <t>R07</t>
  </si>
  <si>
    <t>Leavers keep access after departure</t>
  </si>
  <si>
    <t>No documented joiner, mover and leaver process</t>
  </si>
  <si>
    <t>IT administrator removes access when told, with no set deadline</t>
  </si>
  <si>
    <t>Documented leaver checklist agreed with management; access removed on the last working day</t>
  </si>
  <si>
    <t>Head of Operations</t>
  </si>
  <si>
    <t>R08</t>
  </si>
  <si>
    <t>Backups</t>
  </si>
  <si>
    <t>Data cannot be restored after an incident</t>
  </si>
  <si>
    <t>Backups are never tested</t>
  </si>
  <si>
    <t>Backup service in place</t>
  </si>
  <si>
    <t>Quarterly restore test; document recovery time and recovery point targets</t>
  </si>
  <si>
    <t>R09</t>
  </si>
  <si>
    <t>Suppliers (payment, support tool, backup service)</t>
  </si>
  <si>
    <t>Supplier outage or breach affects customers</t>
  </si>
  <si>
    <t>No supplier security review or register</t>
  </si>
  <si>
    <t>Standard contract terms</t>
  </si>
  <si>
    <t>Create supplier register; review security documents and data processing agreements for the three key suppliers</t>
  </si>
  <si>
    <t>R10</t>
  </si>
  <si>
    <t>IT administrator role</t>
  </si>
  <si>
    <t>Single point of failure</t>
  </si>
  <si>
    <t>One part-time person holds all administration knowledge</t>
  </si>
  <si>
    <t>Document admin procedures; give a second trusted person emergency (break-glass) access</t>
  </si>
  <si>
    <t>CEO</t>
  </si>
  <si>
    <t>R11</t>
  </si>
  <si>
    <t>GitHub source code repositories</t>
  </si>
  <si>
    <t>Secrets such as keys or passwords leaked in code</t>
  </si>
  <si>
    <t>No secret scanning or push protection</t>
  </si>
  <si>
    <t>Repositories are private</t>
  </si>
  <si>
    <t>Enable secret scanning and push protection; rotate any secret found</t>
  </si>
  <si>
    <t>R12</t>
  </si>
  <si>
    <t>Developer account compromised</t>
  </si>
  <si>
    <t>MFA not enforced for every organisation member</t>
  </si>
  <si>
    <t>Enforce MFA and single sign-on through Entra ID; require branch protection and code review</t>
  </si>
  <si>
    <t>R13</t>
  </si>
  <si>
    <t>Leaver copies or keeps source code access</t>
  </si>
  <si>
    <t>GitHub is not part of the leaver checklist</t>
  </si>
  <si>
    <t>Add GitHub, Azure and support tool to the leaver checklist (see R07)</t>
  </si>
  <si>
    <t>R14</t>
  </si>
  <si>
    <t>Attack goes unnoticed</t>
  </si>
  <si>
    <t>No central logging, alerting or defined log retention</t>
  </si>
  <si>
    <t>Basic Azure activity logs</t>
  </si>
  <si>
    <t>Enable Microsoft Defender for Cloud and central logging with alerts; define log retention</t>
  </si>
  <si>
    <t>R15</t>
  </si>
  <si>
    <t>Azure test environment</t>
  </si>
  <si>
    <t>Real customer data exposed through testing</t>
  </si>
  <si>
    <t>Production data is sometimes copied into the test environment</t>
  </si>
  <si>
    <t>Prohibit production data in test; use anonymised test data</t>
  </si>
  <si>
    <t>R16</t>
  </si>
  <si>
    <t>Service outage lasting longer than customers accept</t>
  </si>
  <si>
    <t>Single-region setup; failover never tested</t>
  </si>
  <si>
    <t>Azure platform service levels</t>
  </si>
  <si>
    <t>Define recovery targets; test failover plan or formally accept the risk with a documented reason</t>
  </si>
  <si>
    <t>R17</t>
  </si>
  <si>
    <t>Staff accounts</t>
  </si>
  <si>
    <t>Weak or reused passwords</t>
  </si>
  <si>
    <t>No password manager; passwords still used alongside MFA</t>
  </si>
  <si>
    <t>Minimum password length set in Entra ID</t>
  </si>
  <si>
    <t>Roll out a company password manager; move staff towards passkeys</t>
  </si>
  <si>
    <t>R18</t>
  </si>
  <si>
    <t>Microsoft 365 files and email</t>
  </si>
  <si>
    <t>Sensitive data shared with the wrong people</t>
  </si>
  <si>
    <t>External sharing is unrestricted; no data labels</t>
  </si>
  <si>
    <t>Restrict external sharing to approved domains; introduce sensitivity labels for customer data</t>
  </si>
  <si>
    <t>R19</t>
  </si>
  <si>
    <t>Staff</t>
  </si>
  <si>
    <t>Security incidents not reported or reported late</t>
  </si>
  <si>
    <t>No known reporting channel; staff unsure what counts as an incident</t>
  </si>
  <si>
    <t>Set up an incident reporting channel and include it in onboarding and annual training</t>
  </si>
  <si>
    <t>R20</t>
  </si>
  <si>
    <t>Remote work</t>
  </si>
  <si>
    <t>Data intercepted on home or public networks</t>
  </si>
  <si>
    <t>No remote working rules; no VPN or conditional access</t>
  </si>
  <si>
    <t>HTTPS used for cloud services</t>
  </si>
  <si>
    <t>Publish remote working rules; enforce device firewall and conditional access for company data</t>
  </si>
  <si>
    <t>R21</t>
  </si>
  <si>
    <t>Screens or devices seen or used by others at home</t>
  </si>
  <si>
    <t>No guidance on locking screens or shared home devices</t>
  </si>
  <si>
    <t>Accept</t>
  </si>
  <si>
    <t>No new control now; include screen-lock guidance in training and review each quarter</t>
  </si>
  <si>
    <t>R22</t>
  </si>
  <si>
    <t>Customer personal data (GDPR)</t>
  </si>
  <si>
    <t>Data subject requests handled late or wrongly</t>
  </si>
  <si>
    <t>No documented process or tracking for access and deletion requests</t>
  </si>
  <si>
    <t>Requests handled by email without a process</t>
  </si>
  <si>
    <t>Document request process with 30-day tracking and a named owner</t>
  </si>
  <si>
    <t>R23</t>
  </si>
  <si>
    <t>Incident response (GDPR)</t>
  </si>
  <si>
    <t>Personal data breach not reported to the authority within 72 hours</t>
  </si>
  <si>
    <t>No incident response plan or decision process</t>
  </si>
  <si>
    <t>Create incident response policy with severity levels, a 72-hour breach decision checklist and contact details</t>
  </si>
  <si>
    <t>R24</t>
  </si>
  <si>
    <t>Regulatory compliance (NIS2)</t>
  </si>
  <si>
    <t>Incident reporting duties missed</t>
  </si>
  <si>
    <t>Havelmetrics has not assessed whether NIS2 applies to it as a supplier</t>
  </si>
  <si>
    <t>Complete NIS2 applicability assessment; align incident procedure with early warning (24 hours) and notification (72 hours) timelines</t>
  </si>
  <si>
    <t>R25</t>
  </si>
  <si>
    <t>Customer security questionnaires</t>
  </si>
  <si>
    <t>Inconsistent or inaccurate answers to customers</t>
  </si>
  <si>
    <t>Answers are written ad hoc by different people</t>
  </si>
  <si>
    <t>Maintain one approved answer library reviewed by the ISMS Manager</t>
  </si>
  <si>
    <t>Head of Sales and Support</t>
  </si>
  <si>
    <t>R26</t>
  </si>
  <si>
    <t>Customer support tool</t>
  </si>
  <si>
    <t>Customer data exposed through support tickets</t>
  </si>
  <si>
    <t>Broad staff access; sensitive data kept in tickets without retention limits</t>
  </si>
  <si>
    <t>Login required for the support tool</t>
  </si>
  <si>
    <t>Role-based access; retention limits; mask sensitive data in tickets</t>
  </si>
  <si>
    <t>R27</t>
  </si>
  <si>
    <t>Payment provider integration</t>
  </si>
  <si>
    <t>Payment-related keys or data compromised</t>
  </si>
  <si>
    <t>Integration keys stored in configuration files</t>
  </si>
  <si>
    <t>Provider handles card data on its own platform (assumed)</t>
  </si>
  <si>
    <t>Store keys in Azure Key Vault and rotate them regularly</t>
  </si>
  <si>
    <t>R28</t>
  </si>
  <si>
    <t>Berlin office (Kreuzberg)</t>
  </si>
  <si>
    <t>Unauthorised physical access</t>
  </si>
  <si>
    <t>No visitor sign-in; keys not tracked</t>
  </si>
  <si>
    <t>Locked door with key access</t>
  </si>
  <si>
    <t>Add a visitor sign-in sheet and key list; review each quarter</t>
  </si>
  <si>
    <t>R29</t>
  </si>
  <si>
    <t>Product software dependencies</t>
  </si>
  <si>
    <t>Known vulnerabilities in third-party libraries</t>
  </si>
  <si>
    <t>No automated dependency scanning or update deadline</t>
  </si>
  <si>
    <t>Developers update libraries occasionally</t>
  </si>
  <si>
    <t>Enable dependency scanning (for example Dependabot); define update deadlines by severity</t>
  </si>
  <si>
    <t>R30</t>
  </si>
  <si>
    <t>Company laptops and Azure data</t>
  </si>
  <si>
    <t>Ransomware encrypts systems and backups</t>
  </si>
  <si>
    <t>Backups not isolated; endpoint protection not centrally monitored</t>
  </si>
  <si>
    <t>Microsoft Defender antivirus on laptops</t>
  </si>
  <si>
    <t>Isolated or immutable backups; centrally monitored endpoint protection; least-privilege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</si>
</sst>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4">
    <dxf>
      <fill>
        <patternFill>
          <bgColor rgb="FFCDE8C8"/>
        </patternFill>
      </fill>
    </dxf>
    <dxf>
      <fill>
        <patternFill>
          <bgColor rgb="FFFFF2B3"/>
        </patternFill>
      </fill>
    </dxf>
    <dxf>
      <fill>
        <patternFill>
          <bgColor rgb="FFF9D5A7"/>
        </patternFill>
      </fill>
    </dxf>
    <dxf>
      <fill>
        <patternFill>
          <bgColor rgb="FFF4B6B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8C8"/>
      <rgbColor rgb="FFFFFF99"/>
      <rgbColor rgb="FF99CCFF"/>
      <rgbColor rgb="FFF4B6B6"/>
      <rgbColor rgb="FFCC99FF"/>
      <rgbColor rgb="FFF9D5A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6" customWidth="1"/>
    <col min="2" max="2" width="28" customWidth="1"/>
    <col min="3" max="3" width="34" customWidth="1"/>
    <col min="4" max="4" width="40" customWidth="1"/>
    <col min="5" max="5" width="11" customWidth="1"/>
    <col min="6" max="6" width="9" customWidth="1"/>
    <col min="7" max="7" width="8" customWidth="1"/>
    <col min="8" max="8" width="10" customWidth="1"/>
    <col min="9" max="9" width="36" customWidth="1"/>
    <col min="10" max="10" width="11" customWidth="1"/>
    <col min="11" max="11" width="52" customWidth="1"/>
    <col min="12" max="12" width="22" customWidth="1"/>
    <col min="13" max="13" width="13" customWidth="1"/>
    <col min="14" max="14" width="12" customWidth="1"/>
  </cols>
  <sheetData>
    <row r="1" spans="1:1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8" x14ac:dyDescent="0.2">
      <c r="A2" s="2" t="s">
        <v>14</v>
      </c>
      <c r="B2" s="3" t="s">
        <v>15</v>
      </c>
      <c r="C2" s="3" t="s">
        <v>16</v>
      </c>
      <c r="D2" s="3" t="s">
        <v>17</v>
      </c>
      <c r="E2" s="2">
        <v>4</v>
      </c>
      <c r="F2" s="2">
        <v>4</v>
      </c>
      <c r="G2" s="2">
        <f t="shared" ref="G2:G31" si="0">E2*F2</f>
        <v>16</v>
      </c>
      <c r="H2" s="2" t="str">
        <f t="shared" ref="H2:H31" si="1">IF(G2&gt;=15,"Critical",IF(G2&gt;=10,"High",IF(G2&gt;=5,"Medium","Low")))</f>
        <v>Critical</v>
      </c>
      <c r="I2" s="3" t="s">
        <v>18</v>
      </c>
      <c r="J2" s="2" t="s">
        <v>19</v>
      </c>
      <c r="K2" s="3" t="s">
        <v>20</v>
      </c>
      <c r="L2" s="3" t="s">
        <v>21</v>
      </c>
      <c r="M2" s="4">
        <v>46344</v>
      </c>
      <c r="N2" s="2" t="s">
        <v>22</v>
      </c>
    </row>
    <row r="3" spans="1:14" ht="28" x14ac:dyDescent="0.2">
      <c r="A3" s="2" t="s">
        <v>23</v>
      </c>
      <c r="B3" s="3" t="s">
        <v>24</v>
      </c>
      <c r="C3" s="3" t="s">
        <v>25</v>
      </c>
      <c r="D3" s="3" t="s">
        <v>26</v>
      </c>
      <c r="E3" s="2">
        <v>3</v>
      </c>
      <c r="F3" s="2">
        <v>5</v>
      </c>
      <c r="G3" s="2">
        <f t="shared" si="0"/>
        <v>15</v>
      </c>
      <c r="H3" s="2" t="str">
        <f t="shared" si="1"/>
        <v>Critical</v>
      </c>
      <c r="I3" s="3" t="s">
        <v>27</v>
      </c>
      <c r="J3" s="2" t="s">
        <v>19</v>
      </c>
      <c r="K3" s="3" t="s">
        <v>28</v>
      </c>
      <c r="L3" s="3" t="s">
        <v>29</v>
      </c>
      <c r="M3" s="4">
        <v>46344</v>
      </c>
      <c r="N3" s="2" t="s">
        <v>30</v>
      </c>
    </row>
    <row r="4" spans="1:14" ht="28" x14ac:dyDescent="0.2">
      <c r="A4" s="2" t="s">
        <v>31</v>
      </c>
      <c r="B4" s="3" t="s">
        <v>32</v>
      </c>
      <c r="C4" s="3" t="s">
        <v>33</v>
      </c>
      <c r="D4" s="3" t="s">
        <v>34</v>
      </c>
      <c r="E4" s="2">
        <v>3</v>
      </c>
      <c r="F4" s="2">
        <v>5</v>
      </c>
      <c r="G4" s="2">
        <f t="shared" si="0"/>
        <v>15</v>
      </c>
      <c r="H4" s="2" t="str">
        <f t="shared" si="1"/>
        <v>Critical</v>
      </c>
      <c r="I4" s="3" t="s">
        <v>35</v>
      </c>
      <c r="J4" s="2" t="s">
        <v>19</v>
      </c>
      <c r="K4" s="3" t="s">
        <v>36</v>
      </c>
      <c r="L4" s="3" t="s">
        <v>29</v>
      </c>
      <c r="M4" s="4">
        <v>46344</v>
      </c>
      <c r="N4" s="2" t="s">
        <v>30</v>
      </c>
    </row>
    <row r="5" spans="1:14" ht="28" x14ac:dyDescent="0.2">
      <c r="A5" s="2" t="s">
        <v>37</v>
      </c>
      <c r="B5" s="3" t="s">
        <v>38</v>
      </c>
      <c r="C5" s="3" t="s">
        <v>39</v>
      </c>
      <c r="D5" s="3" t="s">
        <v>40</v>
      </c>
      <c r="E5" s="2">
        <v>4</v>
      </c>
      <c r="F5" s="2">
        <v>3</v>
      </c>
      <c r="G5" s="2">
        <f t="shared" si="0"/>
        <v>12</v>
      </c>
      <c r="H5" s="2" t="str">
        <f t="shared" si="1"/>
        <v>High</v>
      </c>
      <c r="I5" s="3" t="s">
        <v>41</v>
      </c>
      <c r="J5" s="2" t="s">
        <v>19</v>
      </c>
      <c r="K5" s="3" t="s">
        <v>42</v>
      </c>
      <c r="L5" s="3" t="s">
        <v>43</v>
      </c>
      <c r="M5" s="4">
        <v>46404</v>
      </c>
      <c r="N5" s="2" t="s">
        <v>30</v>
      </c>
    </row>
    <row r="6" spans="1:14" ht="28" x14ac:dyDescent="0.2">
      <c r="A6" s="2" t="s">
        <v>44</v>
      </c>
      <c r="B6" s="3" t="s">
        <v>38</v>
      </c>
      <c r="C6" s="3" t="s">
        <v>45</v>
      </c>
      <c r="D6" s="3" t="s">
        <v>46</v>
      </c>
      <c r="E6" s="2">
        <v>3</v>
      </c>
      <c r="F6" s="2">
        <v>3</v>
      </c>
      <c r="G6" s="2">
        <f t="shared" si="0"/>
        <v>9</v>
      </c>
      <c r="H6" s="2" t="str">
        <f t="shared" si="1"/>
        <v>Medium</v>
      </c>
      <c r="I6" s="3" t="s">
        <v>47</v>
      </c>
      <c r="J6" s="2" t="s">
        <v>19</v>
      </c>
      <c r="K6" s="3" t="s">
        <v>48</v>
      </c>
      <c r="L6" s="3" t="s">
        <v>43</v>
      </c>
      <c r="M6" s="4">
        <v>46496</v>
      </c>
      <c r="N6" s="2" t="s">
        <v>30</v>
      </c>
    </row>
    <row r="7" spans="1:14" ht="28" x14ac:dyDescent="0.2">
      <c r="A7" s="2" t="s">
        <v>49</v>
      </c>
      <c r="B7" s="3" t="s">
        <v>50</v>
      </c>
      <c r="C7" s="3" t="s">
        <v>51</v>
      </c>
      <c r="D7" s="3" t="s">
        <v>52</v>
      </c>
      <c r="E7" s="2">
        <v>4</v>
      </c>
      <c r="F7" s="2">
        <v>3</v>
      </c>
      <c r="G7" s="2">
        <f t="shared" si="0"/>
        <v>12</v>
      </c>
      <c r="H7" s="2" t="str">
        <f t="shared" si="1"/>
        <v>High</v>
      </c>
      <c r="I7" s="3" t="s">
        <v>53</v>
      </c>
      <c r="J7" s="2" t="s">
        <v>19</v>
      </c>
      <c r="K7" s="3" t="s">
        <v>54</v>
      </c>
      <c r="L7" s="3" t="s">
        <v>43</v>
      </c>
      <c r="M7" s="4">
        <v>46404</v>
      </c>
      <c r="N7" s="2" t="s">
        <v>30</v>
      </c>
    </row>
    <row r="8" spans="1:14" ht="28" x14ac:dyDescent="0.2">
      <c r="A8" s="2" t="s">
        <v>55</v>
      </c>
      <c r="B8" s="3" t="s">
        <v>15</v>
      </c>
      <c r="C8" s="3" t="s">
        <v>56</v>
      </c>
      <c r="D8" s="3" t="s">
        <v>57</v>
      </c>
      <c r="E8" s="2">
        <v>3</v>
      </c>
      <c r="F8" s="2">
        <v>4</v>
      </c>
      <c r="G8" s="2">
        <f t="shared" si="0"/>
        <v>12</v>
      </c>
      <c r="H8" s="2" t="str">
        <f t="shared" si="1"/>
        <v>High</v>
      </c>
      <c r="I8" s="3" t="s">
        <v>58</v>
      </c>
      <c r="J8" s="2" t="s">
        <v>19</v>
      </c>
      <c r="K8" s="3" t="s">
        <v>59</v>
      </c>
      <c r="L8" s="3" t="s">
        <v>60</v>
      </c>
      <c r="M8" s="4">
        <v>46404</v>
      </c>
      <c r="N8" s="2" t="s">
        <v>30</v>
      </c>
    </row>
    <row r="9" spans="1:14" ht="28" x14ac:dyDescent="0.2">
      <c r="A9" s="2" t="s">
        <v>61</v>
      </c>
      <c r="B9" s="3" t="s">
        <v>62</v>
      </c>
      <c r="C9" s="3" t="s">
        <v>63</v>
      </c>
      <c r="D9" s="3" t="s">
        <v>64</v>
      </c>
      <c r="E9" s="2">
        <v>3</v>
      </c>
      <c r="F9" s="2">
        <v>4</v>
      </c>
      <c r="G9" s="2">
        <f t="shared" si="0"/>
        <v>12</v>
      </c>
      <c r="H9" s="2" t="str">
        <f t="shared" si="1"/>
        <v>High</v>
      </c>
      <c r="I9" s="3" t="s">
        <v>65</v>
      </c>
      <c r="J9" s="2" t="s">
        <v>19</v>
      </c>
      <c r="K9" s="3" t="s">
        <v>66</v>
      </c>
      <c r="L9" s="3" t="s">
        <v>29</v>
      </c>
      <c r="M9" s="4">
        <v>46404</v>
      </c>
      <c r="N9" s="2" t="s">
        <v>30</v>
      </c>
    </row>
    <row r="10" spans="1:14" ht="28" x14ac:dyDescent="0.2">
      <c r="A10" s="2" t="s">
        <v>67</v>
      </c>
      <c r="B10" s="3" t="s">
        <v>68</v>
      </c>
      <c r="C10" s="3" t="s">
        <v>69</v>
      </c>
      <c r="D10" s="3" t="s">
        <v>70</v>
      </c>
      <c r="E10" s="2">
        <v>2</v>
      </c>
      <c r="F10" s="2">
        <v>3</v>
      </c>
      <c r="G10" s="2">
        <f t="shared" si="0"/>
        <v>6</v>
      </c>
      <c r="H10" s="2" t="str">
        <f t="shared" si="1"/>
        <v>Medium</v>
      </c>
      <c r="I10" s="3" t="s">
        <v>71</v>
      </c>
      <c r="J10" s="2" t="s">
        <v>19</v>
      </c>
      <c r="K10" s="3" t="s">
        <v>72</v>
      </c>
      <c r="L10" s="3" t="s">
        <v>21</v>
      </c>
      <c r="M10" s="4">
        <v>46496</v>
      </c>
      <c r="N10" s="2" t="s">
        <v>30</v>
      </c>
    </row>
    <row r="11" spans="1:14" ht="28" x14ac:dyDescent="0.2">
      <c r="A11" s="2" t="s">
        <v>73</v>
      </c>
      <c r="B11" s="3" t="s">
        <v>74</v>
      </c>
      <c r="C11" s="3" t="s">
        <v>75</v>
      </c>
      <c r="D11" s="3" t="s">
        <v>76</v>
      </c>
      <c r="E11" s="2">
        <v>3</v>
      </c>
      <c r="F11" s="2">
        <v>3</v>
      </c>
      <c r="G11" s="2">
        <f t="shared" si="0"/>
        <v>9</v>
      </c>
      <c r="H11" s="2" t="str">
        <f t="shared" si="1"/>
        <v>Medium</v>
      </c>
      <c r="I11" s="3" t="s">
        <v>53</v>
      </c>
      <c r="J11" s="2" t="s">
        <v>19</v>
      </c>
      <c r="K11" s="3" t="s">
        <v>77</v>
      </c>
      <c r="L11" s="3" t="s">
        <v>78</v>
      </c>
      <c r="M11" s="4">
        <v>46496</v>
      </c>
      <c r="N11" s="2" t="s">
        <v>30</v>
      </c>
    </row>
    <row r="12" spans="1:14" ht="28" x14ac:dyDescent="0.2">
      <c r="A12" s="2" t="s">
        <v>79</v>
      </c>
      <c r="B12" s="3" t="s">
        <v>80</v>
      </c>
      <c r="C12" s="3" t="s">
        <v>81</v>
      </c>
      <c r="D12" s="3" t="s">
        <v>82</v>
      </c>
      <c r="E12" s="2">
        <v>3</v>
      </c>
      <c r="F12" s="2">
        <v>4</v>
      </c>
      <c r="G12" s="2">
        <f t="shared" si="0"/>
        <v>12</v>
      </c>
      <c r="H12" s="2" t="str">
        <f t="shared" si="1"/>
        <v>High</v>
      </c>
      <c r="I12" s="3" t="s">
        <v>83</v>
      </c>
      <c r="J12" s="2" t="s">
        <v>19</v>
      </c>
      <c r="K12" s="3" t="s">
        <v>84</v>
      </c>
      <c r="L12" s="3" t="s">
        <v>29</v>
      </c>
      <c r="M12" s="4">
        <v>46404</v>
      </c>
      <c r="N12" s="2" t="s">
        <v>30</v>
      </c>
    </row>
    <row r="13" spans="1:14" ht="28" x14ac:dyDescent="0.2">
      <c r="A13" s="2" t="s">
        <v>85</v>
      </c>
      <c r="B13" s="3" t="s">
        <v>80</v>
      </c>
      <c r="C13" s="3" t="s">
        <v>86</v>
      </c>
      <c r="D13" s="3" t="s">
        <v>87</v>
      </c>
      <c r="E13" s="2">
        <v>3</v>
      </c>
      <c r="F13" s="2">
        <v>4</v>
      </c>
      <c r="G13" s="2">
        <f t="shared" si="0"/>
        <v>12</v>
      </c>
      <c r="H13" s="2" t="str">
        <f t="shared" si="1"/>
        <v>High</v>
      </c>
      <c r="I13" s="3" t="s">
        <v>83</v>
      </c>
      <c r="J13" s="2" t="s">
        <v>19</v>
      </c>
      <c r="K13" s="3" t="s">
        <v>88</v>
      </c>
      <c r="L13" s="3" t="s">
        <v>29</v>
      </c>
      <c r="M13" s="4">
        <v>46404</v>
      </c>
      <c r="N13" s="2" t="s">
        <v>30</v>
      </c>
    </row>
    <row r="14" spans="1:14" ht="28" x14ac:dyDescent="0.2">
      <c r="A14" s="2" t="s">
        <v>89</v>
      </c>
      <c r="B14" s="3" t="s">
        <v>80</v>
      </c>
      <c r="C14" s="3" t="s">
        <v>90</v>
      </c>
      <c r="D14" s="3" t="s">
        <v>91</v>
      </c>
      <c r="E14" s="2">
        <v>2</v>
      </c>
      <c r="F14" s="2">
        <v>3</v>
      </c>
      <c r="G14" s="2">
        <f t="shared" si="0"/>
        <v>6</v>
      </c>
      <c r="H14" s="2" t="str">
        <f t="shared" si="1"/>
        <v>Medium</v>
      </c>
      <c r="I14" s="3" t="s">
        <v>53</v>
      </c>
      <c r="J14" s="2" t="s">
        <v>19</v>
      </c>
      <c r="K14" s="3" t="s">
        <v>92</v>
      </c>
      <c r="L14" s="3" t="s">
        <v>29</v>
      </c>
      <c r="M14" s="4">
        <v>46496</v>
      </c>
      <c r="N14" s="2" t="s">
        <v>30</v>
      </c>
    </row>
    <row r="15" spans="1:14" ht="28" x14ac:dyDescent="0.2">
      <c r="A15" s="2" t="s">
        <v>93</v>
      </c>
      <c r="B15" s="3" t="s">
        <v>24</v>
      </c>
      <c r="C15" s="3" t="s">
        <v>94</v>
      </c>
      <c r="D15" s="3" t="s">
        <v>95</v>
      </c>
      <c r="E15" s="2">
        <v>4</v>
      </c>
      <c r="F15" s="2">
        <v>3</v>
      </c>
      <c r="G15" s="2">
        <f t="shared" si="0"/>
        <v>12</v>
      </c>
      <c r="H15" s="2" t="str">
        <f t="shared" si="1"/>
        <v>High</v>
      </c>
      <c r="I15" s="3" t="s">
        <v>96</v>
      </c>
      <c r="J15" s="2" t="s">
        <v>19</v>
      </c>
      <c r="K15" s="3" t="s">
        <v>97</v>
      </c>
      <c r="L15" s="3" t="s">
        <v>29</v>
      </c>
      <c r="M15" s="4">
        <v>46404</v>
      </c>
      <c r="N15" s="2" t="s">
        <v>30</v>
      </c>
    </row>
    <row r="16" spans="1:14" ht="28" x14ac:dyDescent="0.2">
      <c r="A16" s="2" t="s">
        <v>98</v>
      </c>
      <c r="B16" s="3" t="s">
        <v>99</v>
      </c>
      <c r="C16" s="3" t="s">
        <v>100</v>
      </c>
      <c r="D16" s="3" t="s">
        <v>101</v>
      </c>
      <c r="E16" s="2">
        <v>3</v>
      </c>
      <c r="F16" s="2">
        <v>4</v>
      </c>
      <c r="G16" s="2">
        <f t="shared" si="0"/>
        <v>12</v>
      </c>
      <c r="H16" s="2" t="str">
        <f t="shared" si="1"/>
        <v>High</v>
      </c>
      <c r="I16" s="3" t="s">
        <v>53</v>
      </c>
      <c r="J16" s="2" t="s">
        <v>19</v>
      </c>
      <c r="K16" s="3" t="s">
        <v>102</v>
      </c>
      <c r="L16" s="3" t="s">
        <v>29</v>
      </c>
      <c r="M16" s="4">
        <v>46404</v>
      </c>
      <c r="N16" s="2" t="s">
        <v>30</v>
      </c>
    </row>
    <row r="17" spans="1:14" ht="28" x14ac:dyDescent="0.2">
      <c r="A17" s="2" t="s">
        <v>103</v>
      </c>
      <c r="B17" s="3" t="s">
        <v>24</v>
      </c>
      <c r="C17" s="3" t="s">
        <v>104</v>
      </c>
      <c r="D17" s="3" t="s">
        <v>105</v>
      </c>
      <c r="E17" s="2">
        <v>2</v>
      </c>
      <c r="F17" s="2">
        <v>4</v>
      </c>
      <c r="G17" s="2">
        <f t="shared" si="0"/>
        <v>8</v>
      </c>
      <c r="H17" s="2" t="str">
        <f t="shared" si="1"/>
        <v>Medium</v>
      </c>
      <c r="I17" s="3" t="s">
        <v>106</v>
      </c>
      <c r="J17" s="2" t="s">
        <v>19</v>
      </c>
      <c r="K17" s="3" t="s">
        <v>107</v>
      </c>
      <c r="L17" s="3" t="s">
        <v>29</v>
      </c>
      <c r="M17" s="4">
        <v>46496</v>
      </c>
      <c r="N17" s="2" t="s">
        <v>30</v>
      </c>
    </row>
    <row r="18" spans="1:14" ht="28" x14ac:dyDescent="0.2">
      <c r="A18" s="2" t="s">
        <v>108</v>
      </c>
      <c r="B18" s="3" t="s">
        <v>109</v>
      </c>
      <c r="C18" s="3" t="s">
        <v>110</v>
      </c>
      <c r="D18" s="3" t="s">
        <v>111</v>
      </c>
      <c r="E18" s="2">
        <v>4</v>
      </c>
      <c r="F18" s="2">
        <v>3</v>
      </c>
      <c r="G18" s="2">
        <f t="shared" si="0"/>
        <v>12</v>
      </c>
      <c r="H18" s="2" t="str">
        <f t="shared" si="1"/>
        <v>High</v>
      </c>
      <c r="I18" s="3" t="s">
        <v>112</v>
      </c>
      <c r="J18" s="2" t="s">
        <v>19</v>
      </c>
      <c r="K18" s="3" t="s">
        <v>113</v>
      </c>
      <c r="L18" s="3" t="s">
        <v>43</v>
      </c>
      <c r="M18" s="4">
        <v>46404</v>
      </c>
      <c r="N18" s="2" t="s">
        <v>30</v>
      </c>
    </row>
    <row r="19" spans="1:14" ht="28" x14ac:dyDescent="0.2">
      <c r="A19" s="2" t="s">
        <v>114</v>
      </c>
      <c r="B19" s="3" t="s">
        <v>115</v>
      </c>
      <c r="C19" s="3" t="s">
        <v>116</v>
      </c>
      <c r="D19" s="3" t="s">
        <v>117</v>
      </c>
      <c r="E19" s="2">
        <v>3</v>
      </c>
      <c r="F19" s="2">
        <v>3</v>
      </c>
      <c r="G19" s="2">
        <f t="shared" si="0"/>
        <v>9</v>
      </c>
      <c r="H19" s="2" t="str">
        <f t="shared" si="1"/>
        <v>Medium</v>
      </c>
      <c r="I19" s="3" t="s">
        <v>53</v>
      </c>
      <c r="J19" s="2" t="s">
        <v>19</v>
      </c>
      <c r="K19" s="3" t="s">
        <v>118</v>
      </c>
      <c r="L19" s="3" t="s">
        <v>43</v>
      </c>
      <c r="M19" s="4">
        <v>46496</v>
      </c>
      <c r="N19" s="2" t="s">
        <v>30</v>
      </c>
    </row>
    <row r="20" spans="1:14" ht="28" x14ac:dyDescent="0.2">
      <c r="A20" s="2" t="s">
        <v>119</v>
      </c>
      <c r="B20" s="3" t="s">
        <v>120</v>
      </c>
      <c r="C20" s="3" t="s">
        <v>121</v>
      </c>
      <c r="D20" s="3" t="s">
        <v>122</v>
      </c>
      <c r="E20" s="2">
        <v>3</v>
      </c>
      <c r="F20" s="2">
        <v>3</v>
      </c>
      <c r="G20" s="2">
        <f t="shared" si="0"/>
        <v>9</v>
      </c>
      <c r="H20" s="2" t="str">
        <f t="shared" si="1"/>
        <v>Medium</v>
      </c>
      <c r="I20" s="3" t="s">
        <v>53</v>
      </c>
      <c r="J20" s="2" t="s">
        <v>19</v>
      </c>
      <c r="K20" s="3" t="s">
        <v>123</v>
      </c>
      <c r="L20" s="3" t="s">
        <v>21</v>
      </c>
      <c r="M20" s="4">
        <v>46496</v>
      </c>
      <c r="N20" s="2" t="s">
        <v>30</v>
      </c>
    </row>
    <row r="21" spans="1:14" ht="28" x14ac:dyDescent="0.2">
      <c r="A21" s="2" t="s">
        <v>124</v>
      </c>
      <c r="B21" s="3" t="s">
        <v>125</v>
      </c>
      <c r="C21" s="3" t="s">
        <v>126</v>
      </c>
      <c r="D21" s="3" t="s">
        <v>127</v>
      </c>
      <c r="E21" s="2">
        <v>3</v>
      </c>
      <c r="F21" s="2">
        <v>3</v>
      </c>
      <c r="G21" s="2">
        <f t="shared" si="0"/>
        <v>9</v>
      </c>
      <c r="H21" s="2" t="str">
        <f t="shared" si="1"/>
        <v>Medium</v>
      </c>
      <c r="I21" s="3" t="s">
        <v>128</v>
      </c>
      <c r="J21" s="2" t="s">
        <v>19</v>
      </c>
      <c r="K21" s="3" t="s">
        <v>129</v>
      </c>
      <c r="L21" s="3" t="s">
        <v>43</v>
      </c>
      <c r="M21" s="4">
        <v>46496</v>
      </c>
      <c r="N21" s="2" t="s">
        <v>30</v>
      </c>
    </row>
    <row r="22" spans="1:14" ht="28" x14ac:dyDescent="0.2">
      <c r="A22" s="2" t="s">
        <v>130</v>
      </c>
      <c r="B22" s="3" t="s">
        <v>125</v>
      </c>
      <c r="C22" s="3" t="s">
        <v>131</v>
      </c>
      <c r="D22" s="3" t="s">
        <v>132</v>
      </c>
      <c r="E22" s="2">
        <v>2</v>
      </c>
      <c r="F22" s="2">
        <v>2</v>
      </c>
      <c r="G22" s="2">
        <f t="shared" si="0"/>
        <v>4</v>
      </c>
      <c r="H22" s="2" t="str">
        <f t="shared" si="1"/>
        <v>Low</v>
      </c>
      <c r="I22" s="3" t="s">
        <v>53</v>
      </c>
      <c r="J22" s="2" t="s">
        <v>133</v>
      </c>
      <c r="K22" s="3" t="s">
        <v>134</v>
      </c>
      <c r="L22" s="3" t="s">
        <v>21</v>
      </c>
      <c r="M22" s="4">
        <v>46406</v>
      </c>
      <c r="N22" s="2" t="s">
        <v>30</v>
      </c>
    </row>
    <row r="23" spans="1:14" ht="28" x14ac:dyDescent="0.2">
      <c r="A23" s="2" t="s">
        <v>135</v>
      </c>
      <c r="B23" s="3" t="s">
        <v>136</v>
      </c>
      <c r="C23" s="3" t="s">
        <v>137</v>
      </c>
      <c r="D23" s="3" t="s">
        <v>138</v>
      </c>
      <c r="E23" s="2">
        <v>3</v>
      </c>
      <c r="F23" s="2">
        <v>3</v>
      </c>
      <c r="G23" s="2">
        <f t="shared" si="0"/>
        <v>9</v>
      </c>
      <c r="H23" s="2" t="str">
        <f t="shared" si="1"/>
        <v>Medium</v>
      </c>
      <c r="I23" s="3" t="s">
        <v>139</v>
      </c>
      <c r="J23" s="2" t="s">
        <v>19</v>
      </c>
      <c r="K23" s="3" t="s">
        <v>140</v>
      </c>
      <c r="L23" s="3" t="s">
        <v>60</v>
      </c>
      <c r="M23" s="4">
        <v>46496</v>
      </c>
      <c r="N23" s="2" t="s">
        <v>30</v>
      </c>
    </row>
    <row r="24" spans="1:14" ht="28" x14ac:dyDescent="0.2">
      <c r="A24" s="2" t="s">
        <v>141</v>
      </c>
      <c r="B24" s="3" t="s">
        <v>142</v>
      </c>
      <c r="C24" s="3" t="s">
        <v>143</v>
      </c>
      <c r="D24" s="3" t="s">
        <v>144</v>
      </c>
      <c r="E24" s="2">
        <v>3</v>
      </c>
      <c r="F24" s="2">
        <v>4</v>
      </c>
      <c r="G24" s="2">
        <f t="shared" si="0"/>
        <v>12</v>
      </c>
      <c r="H24" s="2" t="str">
        <f t="shared" si="1"/>
        <v>High</v>
      </c>
      <c r="I24" s="3" t="s">
        <v>53</v>
      </c>
      <c r="J24" s="2" t="s">
        <v>19</v>
      </c>
      <c r="K24" s="3" t="s">
        <v>145</v>
      </c>
      <c r="L24" s="3" t="s">
        <v>21</v>
      </c>
      <c r="M24" s="4">
        <v>46404</v>
      </c>
      <c r="N24" s="2" t="s">
        <v>30</v>
      </c>
    </row>
    <row r="25" spans="1:14" ht="42" x14ac:dyDescent="0.2">
      <c r="A25" s="2" t="s">
        <v>146</v>
      </c>
      <c r="B25" s="3" t="s">
        <v>147</v>
      </c>
      <c r="C25" s="3" t="s">
        <v>148</v>
      </c>
      <c r="D25" s="3" t="s">
        <v>149</v>
      </c>
      <c r="E25" s="2">
        <v>3</v>
      </c>
      <c r="F25" s="2">
        <v>4</v>
      </c>
      <c r="G25" s="2">
        <f t="shared" si="0"/>
        <v>12</v>
      </c>
      <c r="H25" s="2" t="str">
        <f t="shared" si="1"/>
        <v>High</v>
      </c>
      <c r="I25" s="3" t="s">
        <v>53</v>
      </c>
      <c r="J25" s="2" t="s">
        <v>19</v>
      </c>
      <c r="K25" s="3" t="s">
        <v>150</v>
      </c>
      <c r="L25" s="3" t="s">
        <v>21</v>
      </c>
      <c r="M25" s="4">
        <v>46404</v>
      </c>
      <c r="N25" s="2" t="s">
        <v>30</v>
      </c>
    </row>
    <row r="26" spans="1:14" ht="28" x14ac:dyDescent="0.2">
      <c r="A26" s="2" t="s">
        <v>151</v>
      </c>
      <c r="B26" s="3" t="s">
        <v>152</v>
      </c>
      <c r="C26" s="3" t="s">
        <v>153</v>
      </c>
      <c r="D26" s="3" t="s">
        <v>154</v>
      </c>
      <c r="E26" s="2">
        <v>4</v>
      </c>
      <c r="F26" s="2">
        <v>2</v>
      </c>
      <c r="G26" s="2">
        <f t="shared" si="0"/>
        <v>8</v>
      </c>
      <c r="H26" s="2" t="str">
        <f t="shared" si="1"/>
        <v>Medium</v>
      </c>
      <c r="I26" s="3" t="s">
        <v>53</v>
      </c>
      <c r="J26" s="2" t="s">
        <v>19</v>
      </c>
      <c r="K26" s="3" t="s">
        <v>155</v>
      </c>
      <c r="L26" s="3" t="s">
        <v>156</v>
      </c>
      <c r="M26" s="4">
        <v>46496</v>
      </c>
      <c r="N26" s="2" t="s">
        <v>30</v>
      </c>
    </row>
    <row r="27" spans="1:14" ht="28" x14ac:dyDescent="0.2">
      <c r="A27" s="2" t="s">
        <v>157</v>
      </c>
      <c r="B27" s="3" t="s">
        <v>158</v>
      </c>
      <c r="C27" s="3" t="s">
        <v>159</v>
      </c>
      <c r="D27" s="3" t="s">
        <v>160</v>
      </c>
      <c r="E27" s="2">
        <v>3</v>
      </c>
      <c r="F27" s="2">
        <v>3</v>
      </c>
      <c r="G27" s="2">
        <f t="shared" si="0"/>
        <v>9</v>
      </c>
      <c r="H27" s="2" t="str">
        <f t="shared" si="1"/>
        <v>Medium</v>
      </c>
      <c r="I27" s="3" t="s">
        <v>161</v>
      </c>
      <c r="J27" s="2" t="s">
        <v>19</v>
      </c>
      <c r="K27" s="3" t="s">
        <v>162</v>
      </c>
      <c r="L27" s="3" t="s">
        <v>156</v>
      </c>
      <c r="M27" s="4">
        <v>46496</v>
      </c>
      <c r="N27" s="2" t="s">
        <v>30</v>
      </c>
    </row>
    <row r="28" spans="1:14" ht="28" x14ac:dyDescent="0.2">
      <c r="A28" s="2" t="s">
        <v>163</v>
      </c>
      <c r="B28" s="3" t="s">
        <v>164</v>
      </c>
      <c r="C28" s="3" t="s">
        <v>165</v>
      </c>
      <c r="D28" s="3" t="s">
        <v>166</v>
      </c>
      <c r="E28" s="2">
        <v>2</v>
      </c>
      <c r="F28" s="2">
        <v>4</v>
      </c>
      <c r="G28" s="2">
        <f t="shared" si="0"/>
        <v>8</v>
      </c>
      <c r="H28" s="2" t="str">
        <f t="shared" si="1"/>
        <v>Medium</v>
      </c>
      <c r="I28" s="3" t="s">
        <v>167</v>
      </c>
      <c r="J28" s="2" t="s">
        <v>19</v>
      </c>
      <c r="K28" s="3" t="s">
        <v>168</v>
      </c>
      <c r="L28" s="3" t="s">
        <v>29</v>
      </c>
      <c r="M28" s="4">
        <v>46496</v>
      </c>
      <c r="N28" s="2" t="s">
        <v>30</v>
      </c>
    </row>
    <row r="29" spans="1:14" x14ac:dyDescent="0.2">
      <c r="A29" s="2" t="s">
        <v>169</v>
      </c>
      <c r="B29" s="3" t="s">
        <v>170</v>
      </c>
      <c r="C29" s="3" t="s">
        <v>171</v>
      </c>
      <c r="D29" s="3" t="s">
        <v>172</v>
      </c>
      <c r="E29" s="2">
        <v>2</v>
      </c>
      <c r="F29" s="2">
        <v>2</v>
      </c>
      <c r="G29" s="2">
        <f t="shared" si="0"/>
        <v>4</v>
      </c>
      <c r="H29" s="2" t="str">
        <f t="shared" si="1"/>
        <v>Low</v>
      </c>
      <c r="I29" s="3" t="s">
        <v>173</v>
      </c>
      <c r="J29" s="2" t="s">
        <v>133</v>
      </c>
      <c r="K29" s="3" t="s">
        <v>174</v>
      </c>
      <c r="L29" s="3" t="s">
        <v>60</v>
      </c>
      <c r="M29" s="4">
        <v>46406</v>
      </c>
      <c r="N29" s="2" t="s">
        <v>30</v>
      </c>
    </row>
    <row r="30" spans="1:14" ht="28" x14ac:dyDescent="0.2">
      <c r="A30" s="2" t="s">
        <v>175</v>
      </c>
      <c r="B30" s="3" t="s">
        <v>176</v>
      </c>
      <c r="C30" s="3" t="s">
        <v>177</v>
      </c>
      <c r="D30" s="3" t="s">
        <v>178</v>
      </c>
      <c r="E30" s="2">
        <v>4</v>
      </c>
      <c r="F30" s="2">
        <v>3</v>
      </c>
      <c r="G30" s="2">
        <f t="shared" si="0"/>
        <v>12</v>
      </c>
      <c r="H30" s="2" t="str">
        <f t="shared" si="1"/>
        <v>High</v>
      </c>
      <c r="I30" s="3" t="s">
        <v>179</v>
      </c>
      <c r="J30" s="2" t="s">
        <v>19</v>
      </c>
      <c r="K30" s="3" t="s">
        <v>180</v>
      </c>
      <c r="L30" s="3" t="s">
        <v>29</v>
      </c>
      <c r="M30" s="4">
        <v>46404</v>
      </c>
      <c r="N30" s="2" t="s">
        <v>30</v>
      </c>
    </row>
    <row r="31" spans="1:14" ht="28" x14ac:dyDescent="0.2">
      <c r="A31" s="2" t="s">
        <v>181</v>
      </c>
      <c r="B31" s="3" t="s">
        <v>182</v>
      </c>
      <c r="C31" s="3" t="s">
        <v>183</v>
      </c>
      <c r="D31" s="3" t="s">
        <v>184</v>
      </c>
      <c r="E31" s="2">
        <v>3</v>
      </c>
      <c r="F31" s="2">
        <v>5</v>
      </c>
      <c r="G31" s="2">
        <f t="shared" si="0"/>
        <v>15</v>
      </c>
      <c r="H31" s="2" t="str">
        <f t="shared" si="1"/>
        <v>Critical</v>
      </c>
      <c r="I31" s="3" t="s">
        <v>185</v>
      </c>
      <c r="J31" s="2" t="s">
        <v>19</v>
      </c>
      <c r="K31" s="3" t="s">
        <v>186</v>
      </c>
      <c r="L31" s="3" t="s">
        <v>29</v>
      </c>
      <c r="M31" s="4">
        <v>46344</v>
      </c>
      <c r="N31" s="2" t="s">
        <v>30</v>
      </c>
    </row>
  </sheetData>
  <autoFilter ref="A1:N31" xr:uid="{00000000-0009-0000-0000-000000000000}"/>
  <conditionalFormatting sqref="H2:H31">
    <cfRule type="expression" dxfId="3" priority="2">
      <formula>$H2="Critical"</formula>
    </cfRule>
    <cfRule type="expression" dxfId="2" priority="3">
      <formula>$H2="High"</formula>
    </cfRule>
    <cfRule type="expression" dxfId="1" priority="4">
      <formula>$H2="Medium"</formula>
    </cfRule>
    <cfRule type="expression" dxfId="0" priority="5">
      <formula>$H2="Low"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Fahad Maqbool (STU194661)</cp:lastModifiedBy>
  <cp:revision>0</cp:revision>
  <dcterms:created xsi:type="dcterms:W3CDTF">2026-10-19T09:41:17Z</dcterms:created>
  <dcterms:modified xsi:type="dcterms:W3CDTF">2026-10-19T09:49:36Z</dcterms:modified>
  <dc:language>en-US</dc:language>
</cp:coreProperties>
</file>