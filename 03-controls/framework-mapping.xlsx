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DORA gap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How to read" sheetId="4" state="visible" r:id="rId4"/>
  </sheets>
  <definedNames>
    <definedName name="_xlnm._FilterDatabase" localSheetId="0" hidden="1">'Mapping'!$A$1:$K$94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DE8C8"/>
          <bgColor rgb="00CDE8C8"/>
        </patternFill>
      </fill>
    </dxf>
    <dxf>
      <fill>
        <patternFill patternType="solid">
          <fgColor rgb="00FFF2B3"/>
          <bgColor rgb="00FFF2B3"/>
        </patternFill>
      </fill>
    </dxf>
    <dxf>
      <fill>
        <patternFill patternType="solid">
          <fgColor rgb="00E3E3E3"/>
          <bgColor rgb="00E3E3E3"/>
        </patternFill>
      </fill>
    </dxf>
    <dxf>
      <fill>
        <patternFill patternType="solid">
          <fgColor rgb="00F4B6B6"/>
          <b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40" customWidth="1" min="3" max="3"/>
    <col width="11" customWidth="1" min="4" max="4"/>
    <col width="21" customWidth="1" min="5" max="5"/>
    <col width="14" customWidth="1" min="6" max="6"/>
    <col width="40" customWidth="1" min="7" max="7"/>
    <col width="14" customWidth="1" min="8" max="8"/>
    <col width="38" customWidth="1" min="9" max="9"/>
    <col width="10" customWidth="1" min="10" max="10"/>
    <col width="52" customWidth="1" min="11" max="11"/>
  </cols>
  <sheetData>
    <row r="1" ht="28" customHeight="1">
      <c r="A1" s="1" t="inlineStr">
        <is>
          <t>Control</t>
        </is>
      </c>
      <c r="B1" s="1" t="inlineStr">
        <is>
          <t>Theme</t>
        </is>
      </c>
      <c r="C1" s="1" t="inlineStr">
        <is>
          <t>Control name</t>
        </is>
      </c>
      <c r="D1" s="1" t="inlineStr">
        <is>
          <t>Applicable</t>
        </is>
      </c>
      <c r="E1" s="1" t="inlineStr">
        <is>
          <t>Status</t>
        </is>
      </c>
      <c r="F1" s="1" t="inlineStr">
        <is>
          <t>NIST CSF 2.0 function</t>
        </is>
      </c>
      <c r="G1" s="1" t="inlineStr">
        <is>
          <t>NIST CSF 2.0 category</t>
        </is>
      </c>
      <c r="H1" s="1" t="inlineStr">
        <is>
          <t>DORA article(s)</t>
        </is>
      </c>
      <c r="I1" s="1" t="inlineStr">
        <is>
          <t>DORA area</t>
        </is>
      </c>
      <c r="J1" s="1" t="inlineStr">
        <is>
          <t>DORA fit</t>
        </is>
      </c>
      <c r="K1" s="1" t="inlineStr">
        <is>
          <t>Note</t>
        </is>
      </c>
    </row>
    <row r="2">
      <c r="A2" s="2" t="inlineStr">
        <is>
          <t>5.1</t>
        </is>
      </c>
      <c r="B2" s="3" t="inlineStr">
        <is>
          <t>Organizational</t>
        </is>
      </c>
      <c r="C2" s="3" t="inlineStr">
        <is>
          <t>Policies for information security</t>
        </is>
      </c>
      <c r="D2" s="2" t="inlineStr">
        <is>
          <t>Yes</t>
        </is>
      </c>
      <c r="E2" s="2" t="inlineStr">
        <is>
          <t>Partially implemented</t>
        </is>
      </c>
      <c r="F2" s="2" t="inlineStr">
        <is>
          <t>Govern</t>
        </is>
      </c>
      <c r="G2" s="3" t="inlineStr">
        <is>
          <t>GV.PO Policy</t>
        </is>
      </c>
      <c r="H2" s="2" t="inlineStr">
        <is>
          <t>Art. 6</t>
        </is>
      </c>
      <c r="I2" s="3" t="inlineStr">
        <is>
          <t>ICT risk management (Chapter II)</t>
        </is>
      </c>
      <c r="J2" s="2" t="inlineStr">
        <is>
          <t>Direct</t>
        </is>
      </c>
      <c r="K2" s="3" t="inlineStr"/>
    </row>
    <row r="3">
      <c r="A3" s="2" t="inlineStr">
        <is>
          <t>5.2</t>
        </is>
      </c>
      <c r="B3" s="3" t="inlineStr">
        <is>
          <t>Organizational</t>
        </is>
      </c>
      <c r="C3" s="3" t="inlineStr">
        <is>
          <t>Information security roles and responsibilities</t>
        </is>
      </c>
      <c r="D3" s="2" t="inlineStr">
        <is>
          <t>Yes</t>
        </is>
      </c>
      <c r="E3" s="2" t="inlineStr">
        <is>
          <t>Partially implemented</t>
        </is>
      </c>
      <c r="F3" s="2" t="inlineStr">
        <is>
          <t>Govern</t>
        </is>
      </c>
      <c r="G3" s="3" t="inlineStr">
        <is>
          <t>GV.RR Roles, Responsibilities and Authorities</t>
        </is>
      </c>
      <c r="H3" s="2" t="inlineStr">
        <is>
          <t>Art. 5</t>
        </is>
      </c>
      <c r="I3" s="3" t="inlineStr">
        <is>
          <t>ICT risk management (Chapter II)</t>
        </is>
      </c>
      <c r="J3" s="2" t="inlineStr">
        <is>
          <t>Direct</t>
        </is>
      </c>
      <c r="K3" s="3" t="inlineStr">
        <is>
          <t>Management body carries the responsibility under DORA.</t>
        </is>
      </c>
    </row>
    <row r="4">
      <c r="A4" s="2" t="inlineStr">
        <is>
          <t>5.3</t>
        </is>
      </c>
      <c r="B4" s="3" t="inlineStr">
        <is>
          <t>Organizational</t>
        </is>
      </c>
      <c r="C4" s="3" t="inlineStr">
        <is>
          <t>Segregation of duties</t>
        </is>
      </c>
      <c r="D4" s="2" t="inlineStr">
        <is>
          <t>Yes</t>
        </is>
      </c>
      <c r="E4" s="2" t="inlineStr">
        <is>
          <t>Planned</t>
        </is>
      </c>
      <c r="F4" s="2" t="inlineStr">
        <is>
          <t>Protect</t>
        </is>
      </c>
      <c r="G4" s="3" t="inlineStr">
        <is>
          <t>PR.AA Identity Management, Authentication and Access Control</t>
        </is>
      </c>
      <c r="H4" s="2" t="inlineStr">
        <is>
          <t>Art. 9</t>
        </is>
      </c>
      <c r="I4" s="3" t="inlineStr">
        <is>
          <t>ICT risk management (Chapter II)</t>
        </is>
      </c>
      <c r="J4" s="2" t="inlineStr">
        <is>
          <t>Partial</t>
        </is>
      </c>
      <c r="K4" s="3" t="inlineStr"/>
    </row>
    <row r="5">
      <c r="A5" s="2" t="inlineStr">
        <is>
          <t>5.4</t>
        </is>
      </c>
      <c r="B5" s="3" t="inlineStr">
        <is>
          <t>Organizational</t>
        </is>
      </c>
      <c r="C5" s="3" t="inlineStr">
        <is>
          <t>Management responsibilities</t>
        </is>
      </c>
      <c r="D5" s="2" t="inlineStr">
        <is>
          <t>Yes</t>
        </is>
      </c>
      <c r="E5" s="2" t="inlineStr">
        <is>
          <t>Partially implemented</t>
        </is>
      </c>
      <c r="F5" s="2" t="inlineStr">
        <is>
          <t>Govern</t>
        </is>
      </c>
      <c r="G5" s="3" t="inlineStr">
        <is>
          <t>GV.RR Roles, Responsibilities and Authorities</t>
        </is>
      </c>
      <c r="H5" s="2" t="inlineStr">
        <is>
          <t>Art. 5</t>
        </is>
      </c>
      <c r="I5" s="3" t="inlineStr">
        <is>
          <t>ICT risk management (Chapter II)</t>
        </is>
      </c>
      <c r="J5" s="2" t="inlineStr">
        <is>
          <t>Direct</t>
        </is>
      </c>
      <c r="K5" s="3" t="inlineStr"/>
    </row>
    <row r="6">
      <c r="A6" s="2" t="inlineStr">
        <is>
          <t>5.5</t>
        </is>
      </c>
      <c r="B6" s="3" t="inlineStr">
        <is>
          <t>Organizational</t>
        </is>
      </c>
      <c r="C6" s="3" t="inlineStr">
        <is>
          <t>Contact with authorities</t>
        </is>
      </c>
      <c r="D6" s="2" t="inlineStr">
        <is>
          <t>Yes</t>
        </is>
      </c>
      <c r="E6" s="2" t="inlineStr">
        <is>
          <t>Planned</t>
        </is>
      </c>
      <c r="F6" s="2" t="inlineStr">
        <is>
          <t>Respond</t>
        </is>
      </c>
      <c r="G6" s="3" t="inlineStr">
        <is>
          <t>RS.CO Incident Response Reporting and Communication</t>
        </is>
      </c>
      <c r="H6" s="2" t="inlineStr">
        <is>
          <t>Art. 14, 19</t>
        </is>
      </c>
      <c r="I6" s="3" t="inlineStr">
        <is>
          <t>ICT risk management (Chapter II)</t>
        </is>
      </c>
      <c r="J6" s="2" t="inlineStr">
        <is>
          <t>Direct</t>
        </is>
      </c>
      <c r="K6" s="3" t="inlineStr">
        <is>
          <t>DORA reporting goes to the competent authority; GDPR to the data protection authority.</t>
        </is>
      </c>
    </row>
    <row r="7">
      <c r="A7" s="2" t="inlineStr">
        <is>
          <t>5.6</t>
        </is>
      </c>
      <c r="B7" s="3" t="inlineStr">
        <is>
          <t>Organizational</t>
        </is>
      </c>
      <c r="C7" s="3" t="inlineStr">
        <is>
          <t>Contact with special interest groups</t>
        </is>
      </c>
      <c r="D7" s="2" t="inlineStr">
        <is>
          <t>Yes</t>
        </is>
      </c>
      <c r="E7" s="2" t="inlineStr">
        <is>
          <t>Planned</t>
        </is>
      </c>
      <c r="F7" s="2" t="inlineStr">
        <is>
          <t>Identify</t>
        </is>
      </c>
      <c r="G7" s="3" t="inlineStr">
        <is>
          <t>ID.RA Risk Assessment</t>
        </is>
      </c>
      <c r="H7" s="2" t="inlineStr">
        <is>
          <t>Art. 45</t>
        </is>
      </c>
      <c r="I7" s="3" t="inlineStr">
        <is>
          <t>Information sharing (Chapter VI)</t>
        </is>
      </c>
      <c r="J7" s="2" t="inlineStr">
        <is>
          <t>Direct</t>
        </is>
      </c>
      <c r="K7" s="3" t="inlineStr">
        <is>
          <t>Information sharing under DORA is voluntary.</t>
        </is>
      </c>
    </row>
    <row r="8">
      <c r="A8" s="2" t="inlineStr">
        <is>
          <t>5.7</t>
        </is>
      </c>
      <c r="B8" s="3" t="inlineStr">
        <is>
          <t>Organizational</t>
        </is>
      </c>
      <c r="C8" s="3" t="inlineStr">
        <is>
          <t>Threat intelligence</t>
        </is>
      </c>
      <c r="D8" s="2" t="inlineStr">
        <is>
          <t>Yes</t>
        </is>
      </c>
      <c r="E8" s="2" t="inlineStr">
        <is>
          <t>Planned</t>
        </is>
      </c>
      <c r="F8" s="2" t="inlineStr">
        <is>
          <t>Identify</t>
        </is>
      </c>
      <c r="G8" s="3" t="inlineStr">
        <is>
          <t>ID.RA Risk Assessment</t>
        </is>
      </c>
      <c r="H8" s="2" t="inlineStr">
        <is>
          <t>Art. 13</t>
        </is>
      </c>
      <c r="I8" s="3" t="inlineStr">
        <is>
          <t>ICT risk management (Chapter II)</t>
        </is>
      </c>
      <c r="J8" s="2" t="inlineStr">
        <is>
          <t>Partial</t>
        </is>
      </c>
      <c r="K8" s="3" t="inlineStr"/>
    </row>
    <row r="9">
      <c r="A9" s="2" t="inlineStr">
        <is>
          <t>5.8</t>
        </is>
      </c>
      <c r="B9" s="3" t="inlineStr">
        <is>
          <t>Organizational</t>
        </is>
      </c>
      <c r="C9" s="3" t="inlineStr">
        <is>
          <t>Information security in project management</t>
        </is>
      </c>
      <c r="D9" s="2" t="inlineStr">
        <is>
          <t>Yes</t>
        </is>
      </c>
      <c r="E9" s="2" t="inlineStr">
        <is>
          <t>Planned</t>
        </is>
      </c>
      <c r="F9" s="2" t="inlineStr">
        <is>
          <t>Govern</t>
        </is>
      </c>
      <c r="G9" s="3" t="inlineStr">
        <is>
          <t>GV.RM Risk Management Strategy</t>
        </is>
      </c>
      <c r="H9" s="2" t="inlineStr">
        <is>
          <t>Art. 9</t>
        </is>
      </c>
      <c r="I9" s="3" t="inlineStr">
        <is>
          <t>ICT risk management (Chapter II)</t>
        </is>
      </c>
      <c r="J9" s="2" t="inlineStr">
        <is>
          <t>Partial</t>
        </is>
      </c>
      <c r="K9" s="3" t="inlineStr"/>
    </row>
    <row r="10">
      <c r="A10" s="2" t="inlineStr">
        <is>
          <t>5.9</t>
        </is>
      </c>
      <c r="B10" s="3" t="inlineStr">
        <is>
          <t>Organizational</t>
        </is>
      </c>
      <c r="C10" s="3" t="inlineStr">
        <is>
          <t>Inventory of information and other associated assets</t>
        </is>
      </c>
      <c r="D10" s="2" t="inlineStr">
        <is>
          <t>Yes</t>
        </is>
      </c>
      <c r="E10" s="2" t="inlineStr">
        <is>
          <t>Partially implemented</t>
        </is>
      </c>
      <c r="F10" s="2" t="inlineStr">
        <is>
          <t>Identify</t>
        </is>
      </c>
      <c r="G10" s="3" t="inlineStr">
        <is>
          <t>ID.AM Asset Management</t>
        </is>
      </c>
      <c r="H10" s="2" t="inlineStr">
        <is>
          <t>Art. 8</t>
        </is>
      </c>
      <c r="I10" s="3" t="inlineStr">
        <is>
          <t>ICT risk management (Chapter II)</t>
        </is>
      </c>
      <c r="J10" s="2" t="inlineStr">
        <is>
          <t>Direct</t>
        </is>
      </c>
      <c r="K10" s="3" t="inlineStr">
        <is>
          <t>DORA expects a full ICT asset identification and classification.</t>
        </is>
      </c>
    </row>
    <row r="11">
      <c r="A11" s="2" t="inlineStr">
        <is>
          <t>5.10</t>
        </is>
      </c>
      <c r="B11" s="3" t="inlineStr">
        <is>
          <t>Organizational</t>
        </is>
      </c>
      <c r="C11" s="3" t="inlineStr">
        <is>
          <t>Acceptable use of information and other associated assets</t>
        </is>
      </c>
      <c r="D11" s="2" t="inlineStr">
        <is>
          <t>Yes</t>
        </is>
      </c>
      <c r="E11" s="2" t="inlineStr">
        <is>
          <t>Planned</t>
        </is>
      </c>
      <c r="F11" s="2" t="inlineStr">
        <is>
          <t>Govern</t>
        </is>
      </c>
      <c r="G11" s="3" t="inlineStr">
        <is>
          <t>GV.PO Policy</t>
        </is>
      </c>
      <c r="H11" s="2" t="inlineStr">
        <is>
          <t>Art. 9</t>
        </is>
      </c>
      <c r="I11" s="3" t="inlineStr">
        <is>
          <t>ICT risk management (Chapter II)</t>
        </is>
      </c>
      <c r="J11" s="2" t="inlineStr">
        <is>
          <t>Partial</t>
        </is>
      </c>
      <c r="K11" s="3" t="inlineStr"/>
    </row>
    <row r="12">
      <c r="A12" s="2" t="inlineStr">
        <is>
          <t>5.11</t>
        </is>
      </c>
      <c r="B12" s="3" t="inlineStr">
        <is>
          <t>Organizational</t>
        </is>
      </c>
      <c r="C12" s="3" t="inlineStr">
        <is>
          <t>Return of assets</t>
        </is>
      </c>
      <c r="D12" s="2" t="inlineStr">
        <is>
          <t>Yes</t>
        </is>
      </c>
      <c r="E12" s="2" t="inlineStr">
        <is>
          <t>Planned</t>
        </is>
      </c>
      <c r="F12" s="2" t="inlineStr">
        <is>
          <t>Identify</t>
        </is>
      </c>
      <c r="G12" s="3" t="inlineStr">
        <is>
          <t>ID.AM Asset Management</t>
        </is>
      </c>
      <c r="H12" s="2" t="inlineStr">
        <is>
          <t>Art. 8</t>
        </is>
      </c>
      <c r="I12" s="3" t="inlineStr">
        <is>
          <t>ICT risk management (Chapter II)</t>
        </is>
      </c>
      <c r="J12" s="2" t="inlineStr">
        <is>
          <t>Partial</t>
        </is>
      </c>
      <c r="K12" s="3" t="inlineStr"/>
    </row>
    <row r="13">
      <c r="A13" s="2" t="inlineStr">
        <is>
          <t>5.12</t>
        </is>
      </c>
      <c r="B13" s="3" t="inlineStr">
        <is>
          <t>Organizational</t>
        </is>
      </c>
      <c r="C13" s="3" t="inlineStr">
        <is>
          <t>Classification of information</t>
        </is>
      </c>
      <c r="D13" s="2" t="inlineStr">
        <is>
          <t>Yes</t>
        </is>
      </c>
      <c r="E13" s="2" t="inlineStr">
        <is>
          <t>Planned</t>
        </is>
      </c>
      <c r="F13" s="2" t="inlineStr">
        <is>
          <t>Identify</t>
        </is>
      </c>
      <c r="G13" s="3" t="inlineStr">
        <is>
          <t>ID.AM Asset Management</t>
        </is>
      </c>
      <c r="H13" s="2" t="inlineStr">
        <is>
          <t>Art. 8</t>
        </is>
      </c>
      <c r="I13" s="3" t="inlineStr">
        <is>
          <t>ICT risk management (Chapter II)</t>
        </is>
      </c>
      <c r="J13" s="2" t="inlineStr">
        <is>
          <t>Direct</t>
        </is>
      </c>
      <c r="K13" s="3" t="inlineStr"/>
    </row>
    <row r="14">
      <c r="A14" s="2" t="inlineStr">
        <is>
          <t>5.13</t>
        </is>
      </c>
      <c r="B14" s="3" t="inlineStr">
        <is>
          <t>Organizational</t>
        </is>
      </c>
      <c r="C14" s="3" t="inlineStr">
        <is>
          <t>Labelling of information</t>
        </is>
      </c>
      <c r="D14" s="2" t="inlineStr">
        <is>
          <t>Yes</t>
        </is>
      </c>
      <c r="E14" s="2" t="inlineStr">
        <is>
          <t>Planned</t>
        </is>
      </c>
      <c r="F14" s="2" t="inlineStr">
        <is>
          <t>Protect</t>
        </is>
      </c>
      <c r="G14" s="3" t="inlineStr">
        <is>
          <t>PR.DS Data Security</t>
        </is>
      </c>
      <c r="H14" s="2" t="inlineStr">
        <is>
          <t>Art. 9</t>
        </is>
      </c>
      <c r="I14" s="3" t="inlineStr">
        <is>
          <t>ICT risk management (Chapter II)</t>
        </is>
      </c>
      <c r="J14" s="2" t="inlineStr">
        <is>
          <t>Partial</t>
        </is>
      </c>
      <c r="K14" s="3" t="inlineStr"/>
    </row>
    <row r="15">
      <c r="A15" s="2" t="inlineStr">
        <is>
          <t>5.14</t>
        </is>
      </c>
      <c r="B15" s="3" t="inlineStr">
        <is>
          <t>Organizational</t>
        </is>
      </c>
      <c r="C15" s="3" t="inlineStr">
        <is>
          <t>Information transfer</t>
        </is>
      </c>
      <c r="D15" s="2" t="inlineStr">
        <is>
          <t>Yes</t>
        </is>
      </c>
      <c r="E15" s="2" t="inlineStr">
        <is>
          <t>Planned</t>
        </is>
      </c>
      <c r="F15" s="2" t="inlineStr">
        <is>
          <t>Protect</t>
        </is>
      </c>
      <c r="G15" s="3" t="inlineStr">
        <is>
          <t>PR.DS Data Security</t>
        </is>
      </c>
      <c r="H15" s="2" t="inlineStr">
        <is>
          <t>Art. 9</t>
        </is>
      </c>
      <c r="I15" s="3" t="inlineStr">
        <is>
          <t>ICT risk management (Chapter II)</t>
        </is>
      </c>
      <c r="J15" s="2" t="inlineStr">
        <is>
          <t>Direct</t>
        </is>
      </c>
      <c r="K15" s="3" t="inlineStr">
        <is>
          <t>Secure data transfer.</t>
        </is>
      </c>
    </row>
    <row r="16">
      <c r="A16" s="2" t="inlineStr">
        <is>
          <t>5.15</t>
        </is>
      </c>
      <c r="B16" s="3" t="inlineStr">
        <is>
          <t>Organizational</t>
        </is>
      </c>
      <c r="C16" s="3" t="inlineStr">
        <is>
          <t>Access control</t>
        </is>
      </c>
      <c r="D16" s="2" t="inlineStr">
        <is>
          <t>Yes</t>
        </is>
      </c>
      <c r="E16" s="2" t="inlineStr">
        <is>
          <t>Partially implemented</t>
        </is>
      </c>
      <c r="F16" s="2" t="inlineStr">
        <is>
          <t>Protect</t>
        </is>
      </c>
      <c r="G16" s="3" t="inlineStr">
        <is>
          <t>PR.AA Identity Management, Authentication and Access Control</t>
        </is>
      </c>
      <c r="H16" s="2" t="inlineStr">
        <is>
          <t>Art. 9</t>
        </is>
      </c>
      <c r="I16" s="3" t="inlineStr">
        <is>
          <t>ICT risk management (Chapter II)</t>
        </is>
      </c>
      <c r="J16" s="2" t="inlineStr">
        <is>
          <t>Direct</t>
        </is>
      </c>
      <c r="K16" s="3" t="inlineStr"/>
    </row>
    <row r="17">
      <c r="A17" s="2" t="inlineStr">
        <is>
          <t>5.16</t>
        </is>
      </c>
      <c r="B17" s="3" t="inlineStr">
        <is>
          <t>Organizational</t>
        </is>
      </c>
      <c r="C17" s="3" t="inlineStr">
        <is>
          <t>Identity management</t>
        </is>
      </c>
      <c r="D17" s="2" t="inlineStr">
        <is>
          <t>Yes</t>
        </is>
      </c>
      <c r="E17" s="2" t="inlineStr">
        <is>
          <t>Partially implemented</t>
        </is>
      </c>
      <c r="F17" s="2" t="inlineStr">
        <is>
          <t>Protect</t>
        </is>
      </c>
      <c r="G17" s="3" t="inlineStr">
        <is>
          <t>PR.AA Identity Management, Authentication and Access Control</t>
        </is>
      </c>
      <c r="H17" s="2" t="inlineStr">
        <is>
          <t>Art. 9</t>
        </is>
      </c>
      <c r="I17" s="3" t="inlineStr">
        <is>
          <t>ICT risk management (Chapter II)</t>
        </is>
      </c>
      <c r="J17" s="2" t="inlineStr">
        <is>
          <t>Direct</t>
        </is>
      </c>
      <c r="K17" s="3" t="inlineStr"/>
    </row>
    <row r="18">
      <c r="A18" s="2" t="inlineStr">
        <is>
          <t>5.17</t>
        </is>
      </c>
      <c r="B18" s="3" t="inlineStr">
        <is>
          <t>Organizational</t>
        </is>
      </c>
      <c r="C18" s="3" t="inlineStr">
        <is>
          <t>Authentication information</t>
        </is>
      </c>
      <c r="D18" s="2" t="inlineStr">
        <is>
          <t>Yes</t>
        </is>
      </c>
      <c r="E18" s="2" t="inlineStr">
        <is>
          <t>Partially implemented</t>
        </is>
      </c>
      <c r="F18" s="2" t="inlineStr">
        <is>
          <t>Protect</t>
        </is>
      </c>
      <c r="G18" s="3" t="inlineStr">
        <is>
          <t>PR.AA Identity Management, Authentication and Access Control</t>
        </is>
      </c>
      <c r="H18" s="2" t="inlineStr">
        <is>
          <t>Art. 9</t>
        </is>
      </c>
      <c r="I18" s="3" t="inlineStr">
        <is>
          <t>ICT risk management (Chapter II)</t>
        </is>
      </c>
      <c r="J18" s="2" t="inlineStr">
        <is>
          <t>Direct</t>
        </is>
      </c>
      <c r="K18" s="3" t="inlineStr"/>
    </row>
    <row r="19">
      <c r="A19" s="2" t="inlineStr">
        <is>
          <t>5.18</t>
        </is>
      </c>
      <c r="B19" s="3" t="inlineStr">
        <is>
          <t>Organizational</t>
        </is>
      </c>
      <c r="C19" s="3" t="inlineStr">
        <is>
          <t>Access rights</t>
        </is>
      </c>
      <c r="D19" s="2" t="inlineStr">
        <is>
          <t>Yes</t>
        </is>
      </c>
      <c r="E19" s="2" t="inlineStr">
        <is>
          <t>Partially implemented</t>
        </is>
      </c>
      <c r="F19" s="2" t="inlineStr">
        <is>
          <t>Protect</t>
        </is>
      </c>
      <c r="G19" s="3" t="inlineStr">
        <is>
          <t>PR.AA Identity Management, Authentication and Access Control</t>
        </is>
      </c>
      <c r="H19" s="2" t="inlineStr">
        <is>
          <t>Art. 9</t>
        </is>
      </c>
      <c r="I19" s="3" t="inlineStr">
        <is>
          <t>ICT risk management (Chapter II)</t>
        </is>
      </c>
      <c r="J19" s="2" t="inlineStr">
        <is>
          <t>Direct</t>
        </is>
      </c>
      <c r="K19" s="3" t="inlineStr"/>
    </row>
    <row r="20">
      <c r="A20" s="2" t="inlineStr">
        <is>
          <t>5.19</t>
        </is>
      </c>
      <c r="B20" s="3" t="inlineStr">
        <is>
          <t>Organizational</t>
        </is>
      </c>
      <c r="C20" s="3" t="inlineStr">
        <is>
          <t>Information security in supplier relationships</t>
        </is>
      </c>
      <c r="D20" s="2" t="inlineStr">
        <is>
          <t>Yes</t>
        </is>
      </c>
      <c r="E20" s="2" t="inlineStr">
        <is>
          <t>Planned</t>
        </is>
      </c>
      <c r="F20" s="2" t="inlineStr">
        <is>
          <t>Govern</t>
        </is>
      </c>
      <c r="G20" s="3" t="inlineStr">
        <is>
          <t>GV.SC Cybersecurity Supply Chain Risk Management</t>
        </is>
      </c>
      <c r="H20" s="2" t="inlineStr">
        <is>
          <t>Art. 28</t>
        </is>
      </c>
      <c r="I20" s="3" t="inlineStr">
        <is>
          <t>ICT third-party risk (Chapter V)</t>
        </is>
      </c>
      <c r="J20" s="2" t="inlineStr">
        <is>
          <t>Direct</t>
        </is>
      </c>
      <c r="K20" s="3" t="inlineStr"/>
    </row>
    <row r="21">
      <c r="A21" s="2" t="inlineStr">
        <is>
          <t>5.20</t>
        </is>
      </c>
      <c r="B21" s="3" t="inlineStr">
        <is>
          <t>Organizational</t>
        </is>
      </c>
      <c r="C21" s="3" t="inlineStr">
        <is>
          <t>Addressing information security within supplier agreements</t>
        </is>
      </c>
      <c r="D21" s="2" t="inlineStr">
        <is>
          <t>Yes</t>
        </is>
      </c>
      <c r="E21" s="2" t="inlineStr">
        <is>
          <t>Partially implemented</t>
        </is>
      </c>
      <c r="F21" s="2" t="inlineStr">
        <is>
          <t>Govern</t>
        </is>
      </c>
      <c r="G21" s="3" t="inlineStr">
        <is>
          <t>GV.SC Cybersecurity Supply Chain Risk Management</t>
        </is>
      </c>
      <c r="H21" s="2" t="inlineStr">
        <is>
          <t>Art. 30</t>
        </is>
      </c>
      <c r="I21" s="3" t="inlineStr">
        <is>
          <t>ICT third-party risk (Chapter V)</t>
        </is>
      </c>
      <c r="J21" s="2" t="inlineStr">
        <is>
          <t>Direct</t>
        </is>
      </c>
      <c r="K21" s="3" t="inlineStr">
        <is>
          <t>DORA lists key contract terms: audit rights, exit, subcontracting, incident support.</t>
        </is>
      </c>
    </row>
    <row r="22">
      <c r="A22" s="2" t="inlineStr">
        <is>
          <t>5.21</t>
        </is>
      </c>
      <c r="B22" s="3" t="inlineStr">
        <is>
          <t>Organizational</t>
        </is>
      </c>
      <c r="C22" s="3" t="inlineStr">
        <is>
          <t>Managing information security in the ICT supply chain</t>
        </is>
      </c>
      <c r="D22" s="2" t="inlineStr">
        <is>
          <t>Yes</t>
        </is>
      </c>
      <c r="E22" s="2" t="inlineStr">
        <is>
          <t>Planned</t>
        </is>
      </c>
      <c r="F22" s="2" t="inlineStr">
        <is>
          <t>Govern</t>
        </is>
      </c>
      <c r="G22" s="3" t="inlineStr">
        <is>
          <t>GV.SC Cybersecurity Supply Chain Risk Management</t>
        </is>
      </c>
      <c r="H22" s="2" t="inlineStr">
        <is>
          <t>Art. 28, 29</t>
        </is>
      </c>
      <c r="I22" s="3" t="inlineStr">
        <is>
          <t>ICT third-party risk (Chapter V)</t>
        </is>
      </c>
      <c r="J22" s="2" t="inlineStr">
        <is>
          <t>Direct</t>
        </is>
      </c>
      <c r="K22" s="3" t="inlineStr">
        <is>
          <t>Concentration risk (Art. 29) is not part of ISO 27001.</t>
        </is>
      </c>
    </row>
    <row r="23">
      <c r="A23" s="2" t="inlineStr">
        <is>
          <t>5.22</t>
        </is>
      </c>
      <c r="B23" s="3" t="inlineStr">
        <is>
          <t>Organizational</t>
        </is>
      </c>
      <c r="C23" s="3" t="inlineStr">
        <is>
          <t>Monitoring, review and change management of supplier services</t>
        </is>
      </c>
      <c r="D23" s="2" t="inlineStr">
        <is>
          <t>Yes</t>
        </is>
      </c>
      <c r="E23" s="2" t="inlineStr">
        <is>
          <t>Planned</t>
        </is>
      </c>
      <c r="F23" s="2" t="inlineStr">
        <is>
          <t>Govern</t>
        </is>
      </c>
      <c r="G23" s="3" t="inlineStr">
        <is>
          <t>GV.SC Cybersecurity Supply Chain Risk Management</t>
        </is>
      </c>
      <c r="H23" s="2" t="inlineStr">
        <is>
          <t>Art. 28</t>
        </is>
      </c>
      <c r="I23" s="3" t="inlineStr">
        <is>
          <t>ICT third-party risk (Chapter V)</t>
        </is>
      </c>
      <c r="J23" s="2" t="inlineStr">
        <is>
          <t>Direct</t>
        </is>
      </c>
      <c r="K23" s="3" t="inlineStr"/>
    </row>
    <row r="24">
      <c r="A24" s="2" t="inlineStr">
        <is>
          <t>5.23</t>
        </is>
      </c>
      <c r="B24" s="3" t="inlineStr">
        <is>
          <t>Organizational</t>
        </is>
      </c>
      <c r="C24" s="3" t="inlineStr">
        <is>
          <t>Information security for use of cloud services</t>
        </is>
      </c>
      <c r="D24" s="2" t="inlineStr">
        <is>
          <t>Yes</t>
        </is>
      </c>
      <c r="E24" s="2" t="inlineStr">
        <is>
          <t>Partially implemented</t>
        </is>
      </c>
      <c r="F24" s="2" t="inlineStr">
        <is>
          <t>Govern</t>
        </is>
      </c>
      <c r="G24" s="3" t="inlineStr">
        <is>
          <t>GV.SC Cybersecurity Supply Chain Risk Management</t>
        </is>
      </c>
      <c r="H24" s="2" t="inlineStr">
        <is>
          <t>Art. 28, 30</t>
        </is>
      </c>
      <c r="I24" s="3" t="inlineStr">
        <is>
          <t>ICT third-party risk (Chapter V)</t>
        </is>
      </c>
      <c r="J24" s="2" t="inlineStr">
        <is>
          <t>Direct</t>
        </is>
      </c>
      <c r="K24" s="3" t="inlineStr">
        <is>
          <t>Cloud providers are ICT third-party providers under DORA.</t>
        </is>
      </c>
    </row>
    <row r="25">
      <c r="A25" s="2" t="inlineStr">
        <is>
          <t>5.24</t>
        </is>
      </c>
      <c r="B25" s="3" t="inlineStr">
        <is>
          <t>Organizational</t>
        </is>
      </c>
      <c r="C25" s="3" t="inlineStr">
        <is>
          <t>Information security incident management planning and preparation</t>
        </is>
      </c>
      <c r="D25" s="2" t="inlineStr">
        <is>
          <t>Yes</t>
        </is>
      </c>
      <c r="E25" s="2" t="inlineStr">
        <is>
          <t>Planned</t>
        </is>
      </c>
      <c r="F25" s="2" t="inlineStr">
        <is>
          <t>Respond</t>
        </is>
      </c>
      <c r="G25" s="3" t="inlineStr">
        <is>
          <t>RS.MA Incident Management</t>
        </is>
      </c>
      <c r="H25" s="2" t="inlineStr">
        <is>
          <t>Art. 17</t>
        </is>
      </c>
      <c r="I25" s="3" t="inlineStr">
        <is>
          <t>Incident management and reporting (Chapter III)</t>
        </is>
      </c>
      <c r="J25" s="2" t="inlineStr">
        <is>
          <t>Direct</t>
        </is>
      </c>
      <c r="K25" s="3" t="inlineStr"/>
    </row>
    <row r="26">
      <c r="A26" s="2" t="inlineStr">
        <is>
          <t>5.25</t>
        </is>
      </c>
      <c r="B26" s="3" t="inlineStr">
        <is>
          <t>Organizational</t>
        </is>
      </c>
      <c r="C26" s="3" t="inlineStr">
        <is>
          <t>Assessment and decision on information security events</t>
        </is>
      </c>
      <c r="D26" s="2" t="inlineStr">
        <is>
          <t>Yes</t>
        </is>
      </c>
      <c r="E26" s="2" t="inlineStr">
        <is>
          <t>Planned</t>
        </is>
      </c>
      <c r="F26" s="2" t="inlineStr">
        <is>
          <t>Detect</t>
        </is>
      </c>
      <c r="G26" s="3" t="inlineStr">
        <is>
          <t>DE.AE Adverse Event Analysis</t>
        </is>
      </c>
      <c r="H26" s="2" t="inlineStr">
        <is>
          <t>Art. 17, 18</t>
        </is>
      </c>
      <c r="I26" s="3" t="inlineStr">
        <is>
          <t>Incident management and reporting (Chapter III)</t>
        </is>
      </c>
      <c r="J26" s="2" t="inlineStr">
        <is>
          <t>Direct</t>
        </is>
      </c>
      <c r="K26" s="3" t="inlineStr">
        <is>
          <t>Art. 18 classifies incidents against set criteria.</t>
        </is>
      </c>
    </row>
    <row r="27">
      <c r="A27" s="2" t="inlineStr">
        <is>
          <t>5.26</t>
        </is>
      </c>
      <c r="B27" s="3" t="inlineStr">
        <is>
          <t>Organizational</t>
        </is>
      </c>
      <c r="C27" s="3" t="inlineStr">
        <is>
          <t>Response to information security incidents</t>
        </is>
      </c>
      <c r="D27" s="2" t="inlineStr">
        <is>
          <t>Yes</t>
        </is>
      </c>
      <c r="E27" s="2" t="inlineStr">
        <is>
          <t>Planned</t>
        </is>
      </c>
      <c r="F27" s="2" t="inlineStr">
        <is>
          <t>Respond</t>
        </is>
      </c>
      <c r="G27" s="3" t="inlineStr">
        <is>
          <t>RS.MA Incident Management</t>
        </is>
      </c>
      <c r="H27" s="2" t="inlineStr">
        <is>
          <t>Art. 11, 17</t>
        </is>
      </c>
      <c r="I27" s="3" t="inlineStr">
        <is>
          <t>ICT risk management (Chapter II)</t>
        </is>
      </c>
      <c r="J27" s="2" t="inlineStr">
        <is>
          <t>Direct</t>
        </is>
      </c>
      <c r="K27" s="3" t="inlineStr"/>
    </row>
    <row r="28">
      <c r="A28" s="2" t="inlineStr">
        <is>
          <t>5.27</t>
        </is>
      </c>
      <c r="B28" s="3" t="inlineStr">
        <is>
          <t>Organizational</t>
        </is>
      </c>
      <c r="C28" s="3" t="inlineStr">
        <is>
          <t>Learning from information security incidents</t>
        </is>
      </c>
      <c r="D28" s="2" t="inlineStr">
        <is>
          <t>Yes</t>
        </is>
      </c>
      <c r="E28" s="2" t="inlineStr">
        <is>
          <t>Planned</t>
        </is>
      </c>
      <c r="F28" s="2" t="inlineStr">
        <is>
          <t>Identify</t>
        </is>
      </c>
      <c r="G28" s="3" t="inlineStr">
        <is>
          <t>ID.IM Improvement</t>
        </is>
      </c>
      <c r="H28" s="2" t="inlineStr">
        <is>
          <t>Art. 13</t>
        </is>
      </c>
      <c r="I28" s="3" t="inlineStr">
        <is>
          <t>ICT risk management (Chapter II)</t>
        </is>
      </c>
      <c r="J28" s="2" t="inlineStr">
        <is>
          <t>Direct</t>
        </is>
      </c>
      <c r="K28" s="3" t="inlineStr"/>
    </row>
    <row r="29">
      <c r="A29" s="2" t="inlineStr">
        <is>
          <t>5.28</t>
        </is>
      </c>
      <c r="B29" s="3" t="inlineStr">
        <is>
          <t>Organizational</t>
        </is>
      </c>
      <c r="C29" s="3" t="inlineStr">
        <is>
          <t>Collection of evidence</t>
        </is>
      </c>
      <c r="D29" s="2" t="inlineStr">
        <is>
          <t>Yes</t>
        </is>
      </c>
      <c r="E29" s="2" t="inlineStr">
        <is>
          <t>Planned</t>
        </is>
      </c>
      <c r="F29" s="2" t="inlineStr">
        <is>
          <t>Respond</t>
        </is>
      </c>
      <c r="G29" s="3" t="inlineStr">
        <is>
          <t>RS.AN Incident Analysis</t>
        </is>
      </c>
      <c r="H29" s="2" t="inlineStr">
        <is>
          <t>Art. 17</t>
        </is>
      </c>
      <c r="I29" s="3" t="inlineStr">
        <is>
          <t>Incident management and reporting (Chapter III)</t>
        </is>
      </c>
      <c r="J29" s="2" t="inlineStr">
        <is>
          <t>Partial</t>
        </is>
      </c>
      <c r="K29" s="3" t="inlineStr"/>
    </row>
    <row r="30">
      <c r="A30" s="2" t="inlineStr">
        <is>
          <t>5.29</t>
        </is>
      </c>
      <c r="B30" s="3" t="inlineStr">
        <is>
          <t>Organizational</t>
        </is>
      </c>
      <c r="C30" s="3" t="inlineStr">
        <is>
          <t>Information security during disruption</t>
        </is>
      </c>
      <c r="D30" s="2" t="inlineStr">
        <is>
          <t>Yes</t>
        </is>
      </c>
      <c r="E30" s="2" t="inlineStr">
        <is>
          <t>Planned</t>
        </is>
      </c>
      <c r="F30" s="2" t="inlineStr">
        <is>
          <t>Recover</t>
        </is>
      </c>
      <c r="G30" s="3" t="inlineStr">
        <is>
          <t>RC.RP Incident Recovery Plan Execution</t>
        </is>
      </c>
      <c r="H30" s="2" t="inlineStr">
        <is>
          <t>Art. 11</t>
        </is>
      </c>
      <c r="I30" s="3" t="inlineStr">
        <is>
          <t>ICT risk management (Chapter II)</t>
        </is>
      </c>
      <c r="J30" s="2" t="inlineStr">
        <is>
          <t>Direct</t>
        </is>
      </c>
      <c r="K30" s="3" t="inlineStr"/>
    </row>
    <row r="31">
      <c r="A31" s="2" t="inlineStr">
        <is>
          <t>5.30</t>
        </is>
      </c>
      <c r="B31" s="3" t="inlineStr">
        <is>
          <t>Organizational</t>
        </is>
      </c>
      <c r="C31" s="3" t="inlineStr">
        <is>
          <t>ICT readiness for business continuity</t>
        </is>
      </c>
      <c r="D31" s="2" t="inlineStr">
        <is>
          <t>Yes</t>
        </is>
      </c>
      <c r="E31" s="2" t="inlineStr">
        <is>
          <t>Planned</t>
        </is>
      </c>
      <c r="F31" s="2" t="inlineStr">
        <is>
          <t>Recover</t>
        </is>
      </c>
      <c r="G31" s="3" t="inlineStr">
        <is>
          <t>RC.RP Incident Recovery Plan Execution</t>
        </is>
      </c>
      <c r="H31" s="2" t="inlineStr">
        <is>
          <t>Art. 11, 12</t>
        </is>
      </c>
      <c r="I31" s="3" t="inlineStr">
        <is>
          <t>ICT risk management (Chapter II)</t>
        </is>
      </c>
      <c r="J31" s="2" t="inlineStr">
        <is>
          <t>Direct</t>
        </is>
      </c>
      <c r="K31" s="3" t="inlineStr">
        <is>
          <t>DORA expects tested continuity and recovery plans.</t>
        </is>
      </c>
    </row>
    <row r="32">
      <c r="A32" s="2" t="inlineStr">
        <is>
          <t>5.31</t>
        </is>
      </c>
      <c r="B32" s="3" t="inlineStr">
        <is>
          <t>Organizational</t>
        </is>
      </c>
      <c r="C32" s="3" t="inlineStr">
        <is>
          <t>Legal, statutory, regulatory and contractual requirements</t>
        </is>
      </c>
      <c r="D32" s="2" t="inlineStr">
        <is>
          <t>Yes</t>
        </is>
      </c>
      <c r="E32" s="2" t="inlineStr">
        <is>
          <t>Partially implemented</t>
        </is>
      </c>
      <c r="F32" s="2" t="inlineStr">
        <is>
          <t>Govern</t>
        </is>
      </c>
      <c r="G32" s="3" t="inlineStr">
        <is>
          <t>GV.OC Organizational Context</t>
        </is>
      </c>
      <c r="H32" s="2" t="inlineStr">
        <is>
          <t>Art. 6</t>
        </is>
      </c>
      <c r="I32" s="3" t="inlineStr">
        <is>
          <t>ICT risk management (Chapter II)</t>
        </is>
      </c>
      <c r="J32" s="2" t="inlineStr">
        <is>
          <t>Partial</t>
        </is>
      </c>
      <c r="K32" s="3" t="inlineStr">
        <is>
          <t>Regulatory requirements feed the ICT risk framework.</t>
        </is>
      </c>
    </row>
    <row r="33">
      <c r="A33" s="2" t="inlineStr">
        <is>
          <t>5.32</t>
        </is>
      </c>
      <c r="B33" s="3" t="inlineStr">
        <is>
          <t>Organizational</t>
        </is>
      </c>
      <c r="C33" s="3" t="inlineStr">
        <is>
          <t>Intellectual property rights</t>
        </is>
      </c>
      <c r="D33" s="2" t="inlineStr">
        <is>
          <t>Yes</t>
        </is>
      </c>
      <c r="E33" s="2" t="inlineStr">
        <is>
          <t>Planned</t>
        </is>
      </c>
      <c r="F33" s="2" t="inlineStr">
        <is>
          <t>Govern</t>
        </is>
      </c>
      <c r="G33" s="3" t="inlineStr">
        <is>
          <t>GV.OC Organizational Context</t>
        </is>
      </c>
      <c r="H33" s="2" t="inlineStr">
        <is>
          <t>-</t>
        </is>
      </c>
      <c r="I33" s="3" t="inlineStr">
        <is>
          <t>Not covered by DORA</t>
        </is>
      </c>
      <c r="J33" s="2" t="inlineStr">
        <is>
          <t>None</t>
        </is>
      </c>
      <c r="K33" s="3" t="inlineStr">
        <is>
          <t>Outside DORA.</t>
        </is>
      </c>
    </row>
    <row r="34">
      <c r="A34" s="2" t="inlineStr">
        <is>
          <t>5.33</t>
        </is>
      </c>
      <c r="B34" s="3" t="inlineStr">
        <is>
          <t>Organizational</t>
        </is>
      </c>
      <c r="C34" s="3" t="inlineStr">
        <is>
          <t>Protection of records</t>
        </is>
      </c>
      <c r="D34" s="2" t="inlineStr">
        <is>
          <t>Yes</t>
        </is>
      </c>
      <c r="E34" s="2" t="inlineStr">
        <is>
          <t>Planned</t>
        </is>
      </c>
      <c r="F34" s="2" t="inlineStr">
        <is>
          <t>Protect</t>
        </is>
      </c>
      <c r="G34" s="3" t="inlineStr">
        <is>
          <t>PR.DS Data Security</t>
        </is>
      </c>
      <c r="H34" s="2" t="inlineStr">
        <is>
          <t>Art. 9</t>
        </is>
      </c>
      <c r="I34" s="3" t="inlineStr">
        <is>
          <t>ICT risk management (Chapter II)</t>
        </is>
      </c>
      <c r="J34" s="2" t="inlineStr">
        <is>
          <t>Partial</t>
        </is>
      </c>
      <c r="K34" s="3" t="inlineStr"/>
    </row>
    <row r="35">
      <c r="A35" s="2" t="inlineStr">
        <is>
          <t>5.34</t>
        </is>
      </c>
      <c r="B35" s="3" t="inlineStr">
        <is>
          <t>Organizational</t>
        </is>
      </c>
      <c r="C35" s="3" t="inlineStr">
        <is>
          <t>Privacy and protection of PII</t>
        </is>
      </c>
      <c r="D35" s="2" t="inlineStr">
        <is>
          <t>Yes</t>
        </is>
      </c>
      <c r="E35" s="2" t="inlineStr">
        <is>
          <t>Partially implemented</t>
        </is>
      </c>
      <c r="F35" s="2" t="inlineStr">
        <is>
          <t>Govern</t>
        </is>
      </c>
      <c r="G35" s="3" t="inlineStr">
        <is>
          <t>GV.OC Organizational Context</t>
        </is>
      </c>
      <c r="H35" s="2" t="inlineStr">
        <is>
          <t>-</t>
        </is>
      </c>
      <c r="I35" s="3" t="inlineStr">
        <is>
          <t>Not covered by DORA</t>
        </is>
      </c>
      <c r="J35" s="2" t="inlineStr">
        <is>
          <t>None</t>
        </is>
      </c>
      <c r="K35" s="3" t="inlineStr">
        <is>
          <t>Privacy is covered by GDPR, not DORA.</t>
        </is>
      </c>
    </row>
    <row r="36">
      <c r="A36" s="2" t="inlineStr">
        <is>
          <t>5.35</t>
        </is>
      </c>
      <c r="B36" s="3" t="inlineStr">
        <is>
          <t>Organizational</t>
        </is>
      </c>
      <c r="C36" s="3" t="inlineStr">
        <is>
          <t>Independent review of information security</t>
        </is>
      </c>
      <c r="D36" s="2" t="inlineStr">
        <is>
          <t>Yes</t>
        </is>
      </c>
      <c r="E36" s="2" t="inlineStr">
        <is>
          <t>Planned</t>
        </is>
      </c>
      <c r="F36" s="2" t="inlineStr">
        <is>
          <t>Govern</t>
        </is>
      </c>
      <c r="G36" s="3" t="inlineStr">
        <is>
          <t>GV.OV Oversight</t>
        </is>
      </c>
      <c r="H36" s="2" t="inlineStr">
        <is>
          <t>Art. 6</t>
        </is>
      </c>
      <c r="I36" s="3" t="inlineStr">
        <is>
          <t>ICT risk management (Chapter II)</t>
        </is>
      </c>
      <c r="J36" s="2" t="inlineStr">
        <is>
          <t>Direct</t>
        </is>
      </c>
      <c r="K36" s="3" t="inlineStr">
        <is>
          <t>DORA requires internal audit of the ICT risk framework.</t>
        </is>
      </c>
    </row>
    <row r="37">
      <c r="A37" s="2" t="inlineStr">
        <is>
          <t>5.36</t>
        </is>
      </c>
      <c r="B37" s="3" t="inlineStr">
        <is>
          <t>Organizational</t>
        </is>
      </c>
      <c r="C37" s="3" t="inlineStr">
        <is>
          <t>Compliance with policies, rules and standards for information security</t>
        </is>
      </c>
      <c r="D37" s="2" t="inlineStr">
        <is>
          <t>Yes</t>
        </is>
      </c>
      <c r="E37" s="2" t="inlineStr">
        <is>
          <t>Planned</t>
        </is>
      </c>
      <c r="F37" s="2" t="inlineStr">
        <is>
          <t>Govern</t>
        </is>
      </c>
      <c r="G37" s="3" t="inlineStr">
        <is>
          <t>GV.OV Oversight</t>
        </is>
      </c>
      <c r="H37" s="2" t="inlineStr">
        <is>
          <t>Art. 6</t>
        </is>
      </c>
      <c r="I37" s="3" t="inlineStr">
        <is>
          <t>ICT risk management (Chapter II)</t>
        </is>
      </c>
      <c r="J37" s="2" t="inlineStr">
        <is>
          <t>Direct</t>
        </is>
      </c>
      <c r="K37" s="3" t="inlineStr"/>
    </row>
    <row r="38">
      <c r="A38" s="2" t="inlineStr">
        <is>
          <t>5.37</t>
        </is>
      </c>
      <c r="B38" s="3" t="inlineStr">
        <is>
          <t>Organizational</t>
        </is>
      </c>
      <c r="C38" s="3" t="inlineStr">
        <is>
          <t>Documented operating procedures</t>
        </is>
      </c>
      <c r="D38" s="2" t="inlineStr">
        <is>
          <t>Yes</t>
        </is>
      </c>
      <c r="E38" s="2" t="inlineStr">
        <is>
          <t>Planned</t>
        </is>
      </c>
      <c r="F38" s="2" t="inlineStr">
        <is>
          <t>Govern</t>
        </is>
      </c>
      <c r="G38" s="3" t="inlineStr">
        <is>
          <t>GV.PO Policy</t>
        </is>
      </c>
      <c r="H38" s="2" t="inlineStr">
        <is>
          <t>Art. 9</t>
        </is>
      </c>
      <c r="I38" s="3" t="inlineStr">
        <is>
          <t>ICT risk management (Chapter II)</t>
        </is>
      </c>
      <c r="J38" s="2" t="inlineStr">
        <is>
          <t>Partial</t>
        </is>
      </c>
      <c r="K38" s="3" t="inlineStr"/>
    </row>
    <row r="39">
      <c r="A39" s="2" t="inlineStr">
        <is>
          <t>6.1</t>
        </is>
      </c>
      <c r="B39" s="3" t="inlineStr">
        <is>
          <t>People</t>
        </is>
      </c>
      <c r="C39" s="3" t="inlineStr">
        <is>
          <t>Screening</t>
        </is>
      </c>
      <c r="D39" s="2" t="inlineStr">
        <is>
          <t>Yes</t>
        </is>
      </c>
      <c r="E39" s="2" t="inlineStr">
        <is>
          <t>Planned</t>
        </is>
      </c>
      <c r="F39" s="2" t="inlineStr">
        <is>
          <t>Govern</t>
        </is>
      </c>
      <c r="G39" s="3" t="inlineStr">
        <is>
          <t>GV.RR Roles, Responsibilities and Authorities</t>
        </is>
      </c>
      <c r="H39" s="2" t="inlineStr">
        <is>
          <t>-</t>
        </is>
      </c>
      <c r="I39" s="3" t="inlineStr">
        <is>
          <t>Not covered by DORA</t>
        </is>
      </c>
      <c r="J39" s="2" t="inlineStr">
        <is>
          <t>None</t>
        </is>
      </c>
      <c r="K39" s="3" t="inlineStr"/>
    </row>
    <row r="40">
      <c r="A40" s="2" t="inlineStr">
        <is>
          <t>6.2</t>
        </is>
      </c>
      <c r="B40" s="3" t="inlineStr">
        <is>
          <t>People</t>
        </is>
      </c>
      <c r="C40" s="3" t="inlineStr">
        <is>
          <t>Terms and conditions of employment</t>
        </is>
      </c>
      <c r="D40" s="2" t="inlineStr">
        <is>
          <t>Yes</t>
        </is>
      </c>
      <c r="E40" s="2" t="inlineStr">
        <is>
          <t>Partially implemented</t>
        </is>
      </c>
      <c r="F40" s="2" t="inlineStr">
        <is>
          <t>Govern</t>
        </is>
      </c>
      <c r="G40" s="3" t="inlineStr">
        <is>
          <t>GV.RR Roles, Responsibilities and Authorities</t>
        </is>
      </c>
      <c r="H40" s="2" t="inlineStr">
        <is>
          <t>-</t>
        </is>
      </c>
      <c r="I40" s="3" t="inlineStr">
        <is>
          <t>Not covered by DORA</t>
        </is>
      </c>
      <c r="J40" s="2" t="inlineStr">
        <is>
          <t>None</t>
        </is>
      </c>
      <c r="K40" s="3" t="inlineStr"/>
    </row>
    <row r="41">
      <c r="A41" s="2" t="inlineStr">
        <is>
          <t>6.3</t>
        </is>
      </c>
      <c r="B41" s="3" t="inlineStr">
        <is>
          <t>People</t>
        </is>
      </c>
      <c r="C41" s="3" t="inlineStr">
        <is>
          <t>Information security awareness, education and training</t>
        </is>
      </c>
      <c r="D41" s="2" t="inlineStr">
        <is>
          <t>Yes</t>
        </is>
      </c>
      <c r="E41" s="2" t="inlineStr">
        <is>
          <t>Planned</t>
        </is>
      </c>
      <c r="F41" s="2" t="inlineStr">
        <is>
          <t>Protect</t>
        </is>
      </c>
      <c r="G41" s="3" t="inlineStr">
        <is>
          <t>PR.AT Awareness and Training</t>
        </is>
      </c>
      <c r="H41" s="2" t="inlineStr">
        <is>
          <t>Art. 13</t>
        </is>
      </c>
      <c r="I41" s="3" t="inlineStr">
        <is>
          <t>ICT risk management (Chapter II)</t>
        </is>
      </c>
      <c r="J41" s="2" t="inlineStr">
        <is>
          <t>Direct</t>
        </is>
      </c>
      <c r="K41" s="3" t="inlineStr">
        <is>
          <t>DORA requires ICT security awareness and training, including for management.</t>
        </is>
      </c>
    </row>
    <row r="42">
      <c r="A42" s="2" t="inlineStr">
        <is>
          <t>6.4</t>
        </is>
      </c>
      <c r="B42" s="3" t="inlineStr">
        <is>
          <t>People</t>
        </is>
      </c>
      <c r="C42" s="3" t="inlineStr">
        <is>
          <t>Disciplinary process</t>
        </is>
      </c>
      <c r="D42" s="2" t="inlineStr">
        <is>
          <t>Yes</t>
        </is>
      </c>
      <c r="E42" s="2" t="inlineStr">
        <is>
          <t>Planned</t>
        </is>
      </c>
      <c r="F42" s="2" t="inlineStr">
        <is>
          <t>Govern</t>
        </is>
      </c>
      <c r="G42" s="3" t="inlineStr">
        <is>
          <t>GV.RR Roles, Responsibilities and Authorities</t>
        </is>
      </c>
      <c r="H42" s="2" t="inlineStr">
        <is>
          <t>-</t>
        </is>
      </c>
      <c r="I42" s="3" t="inlineStr">
        <is>
          <t>Not covered by DORA</t>
        </is>
      </c>
      <c r="J42" s="2" t="inlineStr">
        <is>
          <t>None</t>
        </is>
      </c>
      <c r="K42" s="3" t="inlineStr"/>
    </row>
    <row r="43">
      <c r="A43" s="2" t="inlineStr">
        <is>
          <t>6.5</t>
        </is>
      </c>
      <c r="B43" s="3" t="inlineStr">
        <is>
          <t>People</t>
        </is>
      </c>
      <c r="C43" s="3" t="inlineStr">
        <is>
          <t>Responsibilities after termination or change of employment</t>
        </is>
      </c>
      <c r="D43" s="2" t="inlineStr">
        <is>
          <t>Yes</t>
        </is>
      </c>
      <c r="E43" s="2" t="inlineStr">
        <is>
          <t>Planned</t>
        </is>
      </c>
      <c r="F43" s="2" t="inlineStr">
        <is>
          <t>Protect</t>
        </is>
      </c>
      <c r="G43" s="3" t="inlineStr">
        <is>
          <t>PR.AA Identity Management, Authentication and Access Control</t>
        </is>
      </c>
      <c r="H43" s="2" t="inlineStr">
        <is>
          <t>Art. 9</t>
        </is>
      </c>
      <c r="I43" s="3" t="inlineStr">
        <is>
          <t>ICT risk management (Chapter II)</t>
        </is>
      </c>
      <c r="J43" s="2" t="inlineStr">
        <is>
          <t>Partial</t>
        </is>
      </c>
      <c r="K43" s="3" t="inlineStr"/>
    </row>
    <row r="44">
      <c r="A44" s="2" t="inlineStr">
        <is>
          <t>6.6</t>
        </is>
      </c>
      <c r="B44" s="3" t="inlineStr">
        <is>
          <t>People</t>
        </is>
      </c>
      <c r="C44" s="3" t="inlineStr">
        <is>
          <t>Confidentiality or non-disclosure agreements</t>
        </is>
      </c>
      <c r="D44" s="2" t="inlineStr">
        <is>
          <t>Yes</t>
        </is>
      </c>
      <c r="E44" s="2" t="inlineStr">
        <is>
          <t>Partially implemented</t>
        </is>
      </c>
      <c r="F44" s="2" t="inlineStr">
        <is>
          <t>Protect</t>
        </is>
      </c>
      <c r="G44" s="3" t="inlineStr">
        <is>
          <t>PR.DS Data Security</t>
        </is>
      </c>
      <c r="H44" s="2" t="inlineStr">
        <is>
          <t>-</t>
        </is>
      </c>
      <c r="I44" s="3" t="inlineStr">
        <is>
          <t>Not covered by DORA</t>
        </is>
      </c>
      <c r="J44" s="2" t="inlineStr">
        <is>
          <t>None</t>
        </is>
      </c>
      <c r="K44" s="3" t="inlineStr"/>
    </row>
    <row r="45">
      <c r="A45" s="2" t="inlineStr">
        <is>
          <t>6.7</t>
        </is>
      </c>
      <c r="B45" s="3" t="inlineStr">
        <is>
          <t>People</t>
        </is>
      </c>
      <c r="C45" s="3" t="inlineStr">
        <is>
          <t>Remote working</t>
        </is>
      </c>
      <c r="D45" s="2" t="inlineStr">
        <is>
          <t>Yes</t>
        </is>
      </c>
      <c r="E45" s="2" t="inlineStr">
        <is>
          <t>Planned</t>
        </is>
      </c>
      <c r="F45" s="2" t="inlineStr">
        <is>
          <t>Protect</t>
        </is>
      </c>
      <c r="G45" s="3" t="inlineStr">
        <is>
          <t>PR.PS Platform Security</t>
        </is>
      </c>
      <c r="H45" s="2" t="inlineStr">
        <is>
          <t>Art. 9</t>
        </is>
      </c>
      <c r="I45" s="3" t="inlineStr">
        <is>
          <t>ICT risk management (Chapter II)</t>
        </is>
      </c>
      <c r="J45" s="2" t="inlineStr">
        <is>
          <t>Partial</t>
        </is>
      </c>
      <c r="K45" s="3" t="inlineStr"/>
    </row>
    <row r="46">
      <c r="A46" s="2" t="inlineStr">
        <is>
          <t>6.8</t>
        </is>
      </c>
      <c r="B46" s="3" t="inlineStr">
        <is>
          <t>People</t>
        </is>
      </c>
      <c r="C46" s="3" t="inlineStr">
        <is>
          <t>Information security event reporting</t>
        </is>
      </c>
      <c r="D46" s="2" t="inlineStr">
        <is>
          <t>Yes</t>
        </is>
      </c>
      <c r="E46" s="2" t="inlineStr">
        <is>
          <t>Planned</t>
        </is>
      </c>
      <c r="F46" s="2" t="inlineStr">
        <is>
          <t>Detect</t>
        </is>
      </c>
      <c r="G46" s="3" t="inlineStr">
        <is>
          <t>DE.AE Adverse Event Analysis</t>
        </is>
      </c>
      <c r="H46" s="2" t="inlineStr">
        <is>
          <t>Art. 10, 17</t>
        </is>
      </c>
      <c r="I46" s="3" t="inlineStr">
        <is>
          <t>ICT risk management (Chapter II)</t>
        </is>
      </c>
      <c r="J46" s="2" t="inlineStr">
        <is>
          <t>Direct</t>
        </is>
      </c>
      <c r="K46" s="3" t="inlineStr"/>
    </row>
    <row r="47">
      <c r="A47" s="2" t="inlineStr">
        <is>
          <t>7.1</t>
        </is>
      </c>
      <c r="B47" s="3" t="inlineStr">
        <is>
          <t>Physical</t>
        </is>
      </c>
      <c r="C47" s="3" t="inlineStr">
        <is>
          <t>Physical security perimeters</t>
        </is>
      </c>
      <c r="D47" s="2" t="inlineStr">
        <is>
          <t>Yes</t>
        </is>
      </c>
      <c r="E47" s="2" t="inlineStr">
        <is>
          <t>Partially implemented</t>
        </is>
      </c>
      <c r="F47" s="2" t="inlineStr">
        <is>
          <t>Protect</t>
        </is>
      </c>
      <c r="G47" s="3" t="inlineStr">
        <is>
          <t>PR.AA Identity Management, Authentication and Access Control</t>
        </is>
      </c>
      <c r="H47" s="2" t="inlineStr">
        <is>
          <t>Art. 9</t>
        </is>
      </c>
      <c r="I47" s="3" t="inlineStr">
        <is>
          <t>ICT risk management (Chapter II)</t>
        </is>
      </c>
      <c r="J47" s="2" t="inlineStr">
        <is>
          <t>Partial</t>
        </is>
      </c>
      <c r="K47" s="3" t="inlineStr"/>
    </row>
    <row r="48">
      <c r="A48" s="2" t="inlineStr">
        <is>
          <t>7.2</t>
        </is>
      </c>
      <c r="B48" s="3" t="inlineStr">
        <is>
          <t>Physical</t>
        </is>
      </c>
      <c r="C48" s="3" t="inlineStr">
        <is>
          <t>Physical entry</t>
        </is>
      </c>
      <c r="D48" s="2" t="inlineStr">
        <is>
          <t>Yes</t>
        </is>
      </c>
      <c r="E48" s="2" t="inlineStr">
        <is>
          <t>Planned</t>
        </is>
      </c>
      <c r="F48" s="2" t="inlineStr">
        <is>
          <t>Protect</t>
        </is>
      </c>
      <c r="G48" s="3" t="inlineStr">
        <is>
          <t>PR.AA Identity Management, Authentication and Access Control</t>
        </is>
      </c>
      <c r="H48" s="2" t="inlineStr">
        <is>
          <t>Art. 9</t>
        </is>
      </c>
      <c r="I48" s="3" t="inlineStr">
        <is>
          <t>ICT risk management (Chapter II)</t>
        </is>
      </c>
      <c r="J48" s="2" t="inlineStr">
        <is>
          <t>Partial</t>
        </is>
      </c>
      <c r="K48" s="3" t="inlineStr"/>
    </row>
    <row r="49">
      <c r="A49" s="2" t="inlineStr">
        <is>
          <t>7.3</t>
        </is>
      </c>
      <c r="B49" s="3" t="inlineStr">
        <is>
          <t>Physical</t>
        </is>
      </c>
      <c r="C49" s="3" t="inlineStr">
        <is>
          <t>Securing offices, rooms and facilities</t>
        </is>
      </c>
      <c r="D49" s="2" t="inlineStr">
        <is>
          <t>Yes</t>
        </is>
      </c>
      <c r="E49" s="2" t="inlineStr">
        <is>
          <t>Partially implemented</t>
        </is>
      </c>
      <c r="F49" s="2" t="inlineStr">
        <is>
          <t>Protect</t>
        </is>
      </c>
      <c r="G49" s="3" t="inlineStr">
        <is>
          <t>PR.AA Identity Management, Authentication and Access Control</t>
        </is>
      </c>
      <c r="H49" s="2" t="inlineStr">
        <is>
          <t>Art. 9</t>
        </is>
      </c>
      <c r="I49" s="3" t="inlineStr">
        <is>
          <t>ICT risk management (Chapter II)</t>
        </is>
      </c>
      <c r="J49" s="2" t="inlineStr">
        <is>
          <t>Partial</t>
        </is>
      </c>
      <c r="K49" s="3" t="inlineStr"/>
    </row>
    <row r="50">
      <c r="A50" s="2" t="inlineStr">
        <is>
          <t>7.4</t>
        </is>
      </c>
      <c r="B50" s="3" t="inlineStr">
        <is>
          <t>Physical</t>
        </is>
      </c>
      <c r="C50" s="3" t="inlineStr">
        <is>
          <t>Physical security monitoring</t>
        </is>
      </c>
      <c r="D50" s="2" t="inlineStr">
        <is>
          <t>No</t>
        </is>
      </c>
      <c r="E50" s="2" t="inlineStr">
        <is>
          <t>Not applicable</t>
        </is>
      </c>
      <c r="F50" s="2" t="inlineStr">
        <is>
          <t>Detect</t>
        </is>
      </c>
      <c r="G50" s="3" t="inlineStr">
        <is>
          <t>DE.CM Continuous Monitoring</t>
        </is>
      </c>
      <c r="H50" s="2" t="inlineStr">
        <is>
          <t>Art. 10</t>
        </is>
      </c>
      <c r="I50" s="3" t="inlineStr">
        <is>
          <t>ICT risk management (Chapter II)</t>
        </is>
      </c>
      <c r="J50" s="2" t="inlineStr">
        <is>
          <t>Partial</t>
        </is>
      </c>
      <c r="K50" s="3" t="inlineStr">
        <is>
          <t>Excluded in the SoA, shown for completeness.</t>
        </is>
      </c>
    </row>
    <row r="51">
      <c r="A51" s="2" t="inlineStr">
        <is>
          <t>7.5</t>
        </is>
      </c>
      <c r="B51" s="3" t="inlineStr">
        <is>
          <t>Physical</t>
        </is>
      </c>
      <c r="C51" s="3" t="inlineStr">
        <is>
          <t>Protecting against physical and environmental threats</t>
        </is>
      </c>
      <c r="D51" s="2" t="inlineStr">
        <is>
          <t>No</t>
        </is>
      </c>
      <c r="E51" s="2" t="inlineStr">
        <is>
          <t>Not applicable</t>
        </is>
      </c>
      <c r="F51" s="2" t="inlineStr">
        <is>
          <t>Protect</t>
        </is>
      </c>
      <c r="G51" s="3" t="inlineStr">
        <is>
          <t>PR.IR Technology Infrastructure Resilience</t>
        </is>
      </c>
      <c r="H51" s="2" t="inlineStr">
        <is>
          <t>Art. 9</t>
        </is>
      </c>
      <c r="I51" s="3" t="inlineStr">
        <is>
          <t>ICT risk management (Chapter II)</t>
        </is>
      </c>
      <c r="J51" s="2" t="inlineStr">
        <is>
          <t>Partial</t>
        </is>
      </c>
      <c r="K51" s="3" t="inlineStr">
        <is>
          <t>Excluded in the SoA, shown for completeness.</t>
        </is>
      </c>
    </row>
    <row r="52">
      <c r="A52" s="2" t="inlineStr">
        <is>
          <t>7.6</t>
        </is>
      </c>
      <c r="B52" s="3" t="inlineStr">
        <is>
          <t>Physical</t>
        </is>
      </c>
      <c r="C52" s="3" t="inlineStr">
        <is>
          <t>Working in secure areas</t>
        </is>
      </c>
      <c r="D52" s="2" t="inlineStr">
        <is>
          <t>No</t>
        </is>
      </c>
      <c r="E52" s="2" t="inlineStr">
        <is>
          <t>Not applicable</t>
        </is>
      </c>
      <c r="F52" s="2" t="inlineStr">
        <is>
          <t>Protect</t>
        </is>
      </c>
      <c r="G52" s="3" t="inlineStr">
        <is>
          <t>PR.AA Identity Management, Authentication and Access Control</t>
        </is>
      </c>
      <c r="H52" s="2" t="inlineStr">
        <is>
          <t>Art. 9</t>
        </is>
      </c>
      <c r="I52" s="3" t="inlineStr">
        <is>
          <t>ICT risk management (Chapter II)</t>
        </is>
      </c>
      <c r="J52" s="2" t="inlineStr">
        <is>
          <t>Partial</t>
        </is>
      </c>
      <c r="K52" s="3" t="inlineStr">
        <is>
          <t>Excluded in the SoA, shown for completeness.</t>
        </is>
      </c>
    </row>
    <row r="53">
      <c r="A53" s="2" t="inlineStr">
        <is>
          <t>7.7</t>
        </is>
      </c>
      <c r="B53" s="3" t="inlineStr">
        <is>
          <t>Physical</t>
        </is>
      </c>
      <c r="C53" s="3" t="inlineStr">
        <is>
          <t>Clear desk and clear screen</t>
        </is>
      </c>
      <c r="D53" s="2" t="inlineStr">
        <is>
          <t>Yes</t>
        </is>
      </c>
      <c r="E53" s="2" t="inlineStr">
        <is>
          <t>Planned</t>
        </is>
      </c>
      <c r="F53" s="2" t="inlineStr">
        <is>
          <t>Protect</t>
        </is>
      </c>
      <c r="G53" s="3" t="inlineStr">
        <is>
          <t>PR.DS Data Security</t>
        </is>
      </c>
      <c r="H53" s="2" t="inlineStr">
        <is>
          <t>Art. 9</t>
        </is>
      </c>
      <c r="I53" s="3" t="inlineStr">
        <is>
          <t>ICT risk management (Chapter II)</t>
        </is>
      </c>
      <c r="J53" s="2" t="inlineStr">
        <is>
          <t>Partial</t>
        </is>
      </c>
      <c r="K53" s="3" t="inlineStr"/>
    </row>
    <row r="54">
      <c r="A54" s="2" t="inlineStr">
        <is>
          <t>7.8</t>
        </is>
      </c>
      <c r="B54" s="3" t="inlineStr">
        <is>
          <t>Physical</t>
        </is>
      </c>
      <c r="C54" s="3" t="inlineStr">
        <is>
          <t>Equipment siting and protection</t>
        </is>
      </c>
      <c r="D54" s="2" t="inlineStr">
        <is>
          <t>No</t>
        </is>
      </c>
      <c r="E54" s="2" t="inlineStr">
        <is>
          <t>Not applicable</t>
        </is>
      </c>
      <c r="F54" s="2" t="inlineStr">
        <is>
          <t>Protect</t>
        </is>
      </c>
      <c r="G54" s="3" t="inlineStr">
        <is>
          <t>PR.IR Technology Infrastructure Resilience</t>
        </is>
      </c>
      <c r="H54" s="2" t="inlineStr">
        <is>
          <t>Art. 9</t>
        </is>
      </c>
      <c r="I54" s="3" t="inlineStr">
        <is>
          <t>ICT risk management (Chapter II)</t>
        </is>
      </c>
      <c r="J54" s="2" t="inlineStr">
        <is>
          <t>Partial</t>
        </is>
      </c>
      <c r="K54" s="3" t="inlineStr">
        <is>
          <t>Excluded in the SoA, shown for completeness.</t>
        </is>
      </c>
    </row>
    <row r="55">
      <c r="A55" s="2" t="inlineStr">
        <is>
          <t>7.9</t>
        </is>
      </c>
      <c r="B55" s="3" t="inlineStr">
        <is>
          <t>Physical</t>
        </is>
      </c>
      <c r="C55" s="3" t="inlineStr">
        <is>
          <t>Security of assets off-premises</t>
        </is>
      </c>
      <c r="D55" s="2" t="inlineStr">
        <is>
          <t>Yes</t>
        </is>
      </c>
      <c r="E55" s="2" t="inlineStr">
        <is>
          <t>Partially implemented</t>
        </is>
      </c>
      <c r="F55" s="2" t="inlineStr">
        <is>
          <t>Protect</t>
        </is>
      </c>
      <c r="G55" s="3" t="inlineStr">
        <is>
          <t>PR.PS Platform Security</t>
        </is>
      </c>
      <c r="H55" s="2" t="inlineStr">
        <is>
          <t>Art. 9</t>
        </is>
      </c>
      <c r="I55" s="3" t="inlineStr">
        <is>
          <t>ICT risk management (Chapter II)</t>
        </is>
      </c>
      <c r="J55" s="2" t="inlineStr">
        <is>
          <t>Partial</t>
        </is>
      </c>
      <c r="K55" s="3" t="inlineStr"/>
    </row>
    <row r="56">
      <c r="A56" s="2" t="inlineStr">
        <is>
          <t>7.10</t>
        </is>
      </c>
      <c r="B56" s="3" t="inlineStr">
        <is>
          <t>Physical</t>
        </is>
      </c>
      <c r="C56" s="3" t="inlineStr">
        <is>
          <t>Storage media</t>
        </is>
      </c>
      <c r="D56" s="2" t="inlineStr">
        <is>
          <t>Yes</t>
        </is>
      </c>
      <c r="E56" s="2" t="inlineStr">
        <is>
          <t>Planned</t>
        </is>
      </c>
      <c r="F56" s="2" t="inlineStr">
        <is>
          <t>Protect</t>
        </is>
      </c>
      <c r="G56" s="3" t="inlineStr">
        <is>
          <t>PR.DS Data Security</t>
        </is>
      </c>
      <c r="H56" s="2" t="inlineStr">
        <is>
          <t>Art. 9</t>
        </is>
      </c>
      <c r="I56" s="3" t="inlineStr">
        <is>
          <t>ICT risk management (Chapter II)</t>
        </is>
      </c>
      <c r="J56" s="2" t="inlineStr">
        <is>
          <t>Partial</t>
        </is>
      </c>
      <c r="K56" s="3" t="inlineStr"/>
    </row>
    <row r="57">
      <c r="A57" s="2" t="inlineStr">
        <is>
          <t>7.11</t>
        </is>
      </c>
      <c r="B57" s="3" t="inlineStr">
        <is>
          <t>Physical</t>
        </is>
      </c>
      <c r="C57" s="3" t="inlineStr">
        <is>
          <t>Supporting utilities</t>
        </is>
      </c>
      <c r="D57" s="2" t="inlineStr">
        <is>
          <t>No</t>
        </is>
      </c>
      <c r="E57" s="2" t="inlineStr">
        <is>
          <t>Not applicable</t>
        </is>
      </c>
      <c r="F57" s="2" t="inlineStr">
        <is>
          <t>Protect</t>
        </is>
      </c>
      <c r="G57" s="3" t="inlineStr">
        <is>
          <t>PR.IR Technology Infrastructure Resilience</t>
        </is>
      </c>
      <c r="H57" s="2" t="inlineStr">
        <is>
          <t>Art. 9</t>
        </is>
      </c>
      <c r="I57" s="3" t="inlineStr">
        <is>
          <t>ICT risk management (Chapter II)</t>
        </is>
      </c>
      <c r="J57" s="2" t="inlineStr">
        <is>
          <t>Partial</t>
        </is>
      </c>
      <c r="K57" s="3" t="inlineStr">
        <is>
          <t>Excluded in the SoA, shown for completeness.</t>
        </is>
      </c>
    </row>
    <row r="58">
      <c r="A58" s="2" t="inlineStr">
        <is>
          <t>7.12</t>
        </is>
      </c>
      <c r="B58" s="3" t="inlineStr">
        <is>
          <t>Physical</t>
        </is>
      </c>
      <c r="C58" s="3" t="inlineStr">
        <is>
          <t>Cabling security</t>
        </is>
      </c>
      <c r="D58" s="2" t="inlineStr">
        <is>
          <t>No</t>
        </is>
      </c>
      <c r="E58" s="2" t="inlineStr">
        <is>
          <t>Not applicable</t>
        </is>
      </c>
      <c r="F58" s="2" t="inlineStr">
        <is>
          <t>Protect</t>
        </is>
      </c>
      <c r="G58" s="3" t="inlineStr">
        <is>
          <t>PR.IR Technology Infrastructure Resilience</t>
        </is>
      </c>
      <c r="H58" s="2" t="inlineStr">
        <is>
          <t>Art. 9</t>
        </is>
      </c>
      <c r="I58" s="3" t="inlineStr">
        <is>
          <t>ICT risk management (Chapter II)</t>
        </is>
      </c>
      <c r="J58" s="2" t="inlineStr">
        <is>
          <t>Partial</t>
        </is>
      </c>
      <c r="K58" s="3" t="inlineStr">
        <is>
          <t>Excluded in the SoA, shown for completeness.</t>
        </is>
      </c>
    </row>
    <row r="59">
      <c r="A59" s="2" t="inlineStr">
        <is>
          <t>7.13</t>
        </is>
      </c>
      <c r="B59" s="3" t="inlineStr">
        <is>
          <t>Physical</t>
        </is>
      </c>
      <c r="C59" s="3" t="inlineStr">
        <is>
          <t>Equipment maintenance</t>
        </is>
      </c>
      <c r="D59" s="2" t="inlineStr">
        <is>
          <t>No</t>
        </is>
      </c>
      <c r="E59" s="2" t="inlineStr">
        <is>
          <t>Not applicable</t>
        </is>
      </c>
      <c r="F59" s="2" t="inlineStr">
        <is>
          <t>Protect</t>
        </is>
      </c>
      <c r="G59" s="3" t="inlineStr">
        <is>
          <t>PR.PS Platform Security</t>
        </is>
      </c>
      <c r="H59" s="2" t="inlineStr">
        <is>
          <t>Art. 9</t>
        </is>
      </c>
      <c r="I59" s="3" t="inlineStr">
        <is>
          <t>ICT risk management (Chapter II)</t>
        </is>
      </c>
      <c r="J59" s="2" t="inlineStr">
        <is>
          <t>Partial</t>
        </is>
      </c>
      <c r="K59" s="3" t="inlineStr">
        <is>
          <t>Excluded in the SoA, shown for completeness.</t>
        </is>
      </c>
    </row>
    <row r="60">
      <c r="A60" s="2" t="inlineStr">
        <is>
          <t>7.14</t>
        </is>
      </c>
      <c r="B60" s="3" t="inlineStr">
        <is>
          <t>Physical</t>
        </is>
      </c>
      <c r="C60" s="3" t="inlineStr">
        <is>
          <t>Secure disposal or re-use of equipment</t>
        </is>
      </c>
      <c r="D60" s="2" t="inlineStr">
        <is>
          <t>Yes</t>
        </is>
      </c>
      <c r="E60" s="2" t="inlineStr">
        <is>
          <t>Planned</t>
        </is>
      </c>
      <c r="F60" s="2" t="inlineStr">
        <is>
          <t>Identify</t>
        </is>
      </c>
      <c r="G60" s="3" t="inlineStr">
        <is>
          <t>ID.AM Asset Management</t>
        </is>
      </c>
      <c r="H60" s="2" t="inlineStr">
        <is>
          <t>Art. 8</t>
        </is>
      </c>
      <c r="I60" s="3" t="inlineStr">
        <is>
          <t>ICT risk management (Chapter II)</t>
        </is>
      </c>
      <c r="J60" s="2" t="inlineStr">
        <is>
          <t>Partial</t>
        </is>
      </c>
      <c r="K60" s="3" t="inlineStr"/>
    </row>
    <row r="61">
      <c r="A61" s="2" t="inlineStr">
        <is>
          <t>8.1</t>
        </is>
      </c>
      <c r="B61" s="3" t="inlineStr">
        <is>
          <t>Technological</t>
        </is>
      </c>
      <c r="C61" s="3" t="inlineStr">
        <is>
          <t>User endpoint devices</t>
        </is>
      </c>
      <c r="D61" s="2" t="inlineStr">
        <is>
          <t>Yes</t>
        </is>
      </c>
      <c r="E61" s="2" t="inlineStr">
        <is>
          <t>Partially implemented</t>
        </is>
      </c>
      <c r="F61" s="2" t="inlineStr">
        <is>
          <t>Protect</t>
        </is>
      </c>
      <c r="G61" s="3" t="inlineStr">
        <is>
          <t>PR.PS Platform Security</t>
        </is>
      </c>
      <c r="H61" s="2" t="inlineStr">
        <is>
          <t>Art. 9</t>
        </is>
      </c>
      <c r="I61" s="3" t="inlineStr">
        <is>
          <t>ICT risk management (Chapter II)</t>
        </is>
      </c>
      <c r="J61" s="2" t="inlineStr">
        <is>
          <t>Partial</t>
        </is>
      </c>
      <c r="K61" s="3" t="inlineStr"/>
    </row>
    <row r="62">
      <c r="A62" s="2" t="inlineStr">
        <is>
          <t>8.2</t>
        </is>
      </c>
      <c r="B62" s="3" t="inlineStr">
        <is>
          <t>Technological</t>
        </is>
      </c>
      <c r="C62" s="3" t="inlineStr">
        <is>
          <t>Privileged access rights</t>
        </is>
      </c>
      <c r="D62" s="2" t="inlineStr">
        <is>
          <t>Yes</t>
        </is>
      </c>
      <c r="E62" s="2" t="inlineStr">
        <is>
          <t>Planned</t>
        </is>
      </c>
      <c r="F62" s="2" t="inlineStr">
        <is>
          <t>Protect</t>
        </is>
      </c>
      <c r="G62" s="3" t="inlineStr">
        <is>
          <t>PR.AA Identity Management, Authentication and Access Control</t>
        </is>
      </c>
      <c r="H62" s="2" t="inlineStr">
        <is>
          <t>Art. 9</t>
        </is>
      </c>
      <c r="I62" s="3" t="inlineStr">
        <is>
          <t>ICT risk management (Chapter II)</t>
        </is>
      </c>
      <c r="J62" s="2" t="inlineStr">
        <is>
          <t>Direct</t>
        </is>
      </c>
      <c r="K62" s="3" t="inlineStr"/>
    </row>
    <row r="63">
      <c r="A63" s="2" t="inlineStr">
        <is>
          <t>8.3</t>
        </is>
      </c>
      <c r="B63" s="3" t="inlineStr">
        <is>
          <t>Technological</t>
        </is>
      </c>
      <c r="C63" s="3" t="inlineStr">
        <is>
          <t>Information access restriction</t>
        </is>
      </c>
      <c r="D63" s="2" t="inlineStr">
        <is>
          <t>Yes</t>
        </is>
      </c>
      <c r="E63" s="2" t="inlineStr">
        <is>
          <t>Partially implemented</t>
        </is>
      </c>
      <c r="F63" s="2" t="inlineStr">
        <is>
          <t>Protect</t>
        </is>
      </c>
      <c r="G63" s="3" t="inlineStr">
        <is>
          <t>PR.AA Identity Management, Authentication and Access Control</t>
        </is>
      </c>
      <c r="H63" s="2" t="inlineStr">
        <is>
          <t>Art. 9</t>
        </is>
      </c>
      <c r="I63" s="3" t="inlineStr">
        <is>
          <t>ICT risk management (Chapter II)</t>
        </is>
      </c>
      <c r="J63" s="2" t="inlineStr">
        <is>
          <t>Direct</t>
        </is>
      </c>
      <c r="K63" s="3" t="inlineStr"/>
    </row>
    <row r="64">
      <c r="A64" s="2" t="inlineStr">
        <is>
          <t>8.4</t>
        </is>
      </c>
      <c r="B64" s="3" t="inlineStr">
        <is>
          <t>Technological</t>
        </is>
      </c>
      <c r="C64" s="3" t="inlineStr">
        <is>
          <t>Access to source code</t>
        </is>
      </c>
      <c r="D64" s="2" t="inlineStr">
        <is>
          <t>Yes</t>
        </is>
      </c>
      <c r="E64" s="2" t="inlineStr">
        <is>
          <t>Partially implemented</t>
        </is>
      </c>
      <c r="F64" s="2" t="inlineStr">
        <is>
          <t>Protect</t>
        </is>
      </c>
      <c r="G64" s="3" t="inlineStr">
        <is>
          <t>PR.PS Platform Security</t>
        </is>
      </c>
      <c r="H64" s="2" t="inlineStr">
        <is>
          <t>Art. 9</t>
        </is>
      </c>
      <c r="I64" s="3" t="inlineStr">
        <is>
          <t>ICT risk management (Chapter II)</t>
        </is>
      </c>
      <c r="J64" s="2" t="inlineStr">
        <is>
          <t>Partial</t>
        </is>
      </c>
      <c r="K64" s="3" t="inlineStr"/>
    </row>
    <row r="65">
      <c r="A65" s="2" t="inlineStr">
        <is>
          <t>8.5</t>
        </is>
      </c>
      <c r="B65" s="3" t="inlineStr">
        <is>
          <t>Technological</t>
        </is>
      </c>
      <c r="C65" s="3" t="inlineStr">
        <is>
          <t>Secure authentication</t>
        </is>
      </c>
      <c r="D65" s="2" t="inlineStr">
        <is>
          <t>Yes</t>
        </is>
      </c>
      <c r="E65" s="2" t="inlineStr">
        <is>
          <t>Partially implemented</t>
        </is>
      </c>
      <c r="F65" s="2" t="inlineStr">
        <is>
          <t>Protect</t>
        </is>
      </c>
      <c r="G65" s="3" t="inlineStr">
        <is>
          <t>PR.AA Identity Management, Authentication and Access Control</t>
        </is>
      </c>
      <c r="H65" s="2" t="inlineStr">
        <is>
          <t>Art. 9</t>
        </is>
      </c>
      <c r="I65" s="3" t="inlineStr">
        <is>
          <t>ICT risk management (Chapter II)</t>
        </is>
      </c>
      <c r="J65" s="2" t="inlineStr">
        <is>
          <t>Direct</t>
        </is>
      </c>
      <c r="K65" s="3" t="inlineStr">
        <is>
          <t>DORA names strong authentication.</t>
        </is>
      </c>
    </row>
    <row r="66">
      <c r="A66" s="2" t="inlineStr">
        <is>
          <t>8.6</t>
        </is>
      </c>
      <c r="B66" s="3" t="inlineStr">
        <is>
          <t>Technological</t>
        </is>
      </c>
      <c r="C66" s="3" t="inlineStr">
        <is>
          <t>Capacity management</t>
        </is>
      </c>
      <c r="D66" s="2" t="inlineStr">
        <is>
          <t>Yes</t>
        </is>
      </c>
      <c r="E66" s="2" t="inlineStr">
        <is>
          <t>Planned</t>
        </is>
      </c>
      <c r="F66" s="2" t="inlineStr">
        <is>
          <t>Protect</t>
        </is>
      </c>
      <c r="G66" s="3" t="inlineStr">
        <is>
          <t>PR.IR Technology Infrastructure Resilience</t>
        </is>
      </c>
      <c r="H66" s="2" t="inlineStr">
        <is>
          <t>Art. 7</t>
        </is>
      </c>
      <c r="I66" s="3" t="inlineStr">
        <is>
          <t>ICT risk management (Chapter II)</t>
        </is>
      </c>
      <c r="J66" s="2" t="inlineStr">
        <is>
          <t>Direct</t>
        </is>
      </c>
      <c r="K66" s="3" t="inlineStr">
        <is>
          <t>ICT systems must have sufficient capacity.</t>
        </is>
      </c>
    </row>
    <row r="67">
      <c r="A67" s="2" t="inlineStr">
        <is>
          <t>8.7</t>
        </is>
      </c>
      <c r="B67" s="3" t="inlineStr">
        <is>
          <t>Technological</t>
        </is>
      </c>
      <c r="C67" s="3" t="inlineStr">
        <is>
          <t>Protection against malware</t>
        </is>
      </c>
      <c r="D67" s="2" t="inlineStr">
        <is>
          <t>Yes</t>
        </is>
      </c>
      <c r="E67" s="2" t="inlineStr">
        <is>
          <t>Partially implemented</t>
        </is>
      </c>
      <c r="F67" s="2" t="inlineStr">
        <is>
          <t>Protect</t>
        </is>
      </c>
      <c r="G67" s="3" t="inlineStr">
        <is>
          <t>PR.PS Platform Security</t>
        </is>
      </c>
      <c r="H67" s="2" t="inlineStr">
        <is>
          <t>Art. 9</t>
        </is>
      </c>
      <c r="I67" s="3" t="inlineStr">
        <is>
          <t>ICT risk management (Chapter II)</t>
        </is>
      </c>
      <c r="J67" s="2" t="inlineStr">
        <is>
          <t>Partial</t>
        </is>
      </c>
      <c r="K67" s="3" t="inlineStr"/>
    </row>
    <row r="68">
      <c r="A68" s="2" t="inlineStr">
        <is>
          <t>8.8</t>
        </is>
      </c>
      <c r="B68" s="3" t="inlineStr">
        <is>
          <t>Technological</t>
        </is>
      </c>
      <c r="C68" s="3" t="inlineStr">
        <is>
          <t>Management of technical vulnerabilities</t>
        </is>
      </c>
      <c r="D68" s="2" t="inlineStr">
        <is>
          <t>Yes</t>
        </is>
      </c>
      <c r="E68" s="2" t="inlineStr">
        <is>
          <t>Partially implemented</t>
        </is>
      </c>
      <c r="F68" s="2" t="inlineStr">
        <is>
          <t>Identify</t>
        </is>
      </c>
      <c r="G68" s="3" t="inlineStr">
        <is>
          <t>ID.RA Risk Assessment</t>
        </is>
      </c>
      <c r="H68" s="2" t="inlineStr">
        <is>
          <t>Art. 9, 25</t>
        </is>
      </c>
      <c r="I68" s="3" t="inlineStr">
        <is>
          <t>ICT risk management (Chapter II)</t>
        </is>
      </c>
      <c r="J68" s="2" t="inlineStr">
        <is>
          <t>Direct</t>
        </is>
      </c>
      <c r="K68" s="3" t="inlineStr">
        <is>
          <t>Vulnerability assessments are part of DORA testing.</t>
        </is>
      </c>
    </row>
    <row r="69">
      <c r="A69" s="2" t="inlineStr">
        <is>
          <t>8.9</t>
        </is>
      </c>
      <c r="B69" s="3" t="inlineStr">
        <is>
          <t>Technological</t>
        </is>
      </c>
      <c r="C69" s="3" t="inlineStr">
        <is>
          <t>Configuration management</t>
        </is>
      </c>
      <c r="D69" s="2" t="inlineStr">
        <is>
          <t>Yes</t>
        </is>
      </c>
      <c r="E69" s="2" t="inlineStr">
        <is>
          <t>Planned</t>
        </is>
      </c>
      <c r="F69" s="2" t="inlineStr">
        <is>
          <t>Protect</t>
        </is>
      </c>
      <c r="G69" s="3" t="inlineStr">
        <is>
          <t>PR.PS Platform Security</t>
        </is>
      </c>
      <c r="H69" s="2" t="inlineStr">
        <is>
          <t>Art. 9</t>
        </is>
      </c>
      <c r="I69" s="3" t="inlineStr">
        <is>
          <t>ICT risk management (Chapter II)</t>
        </is>
      </c>
      <c r="J69" s="2" t="inlineStr">
        <is>
          <t>Partial</t>
        </is>
      </c>
      <c r="K69" s="3" t="inlineStr"/>
    </row>
    <row r="70">
      <c r="A70" s="2" t="inlineStr">
        <is>
          <t>8.10</t>
        </is>
      </c>
      <c r="B70" s="3" t="inlineStr">
        <is>
          <t>Technological</t>
        </is>
      </c>
      <c r="C70" s="3" t="inlineStr">
        <is>
          <t>Information deletion</t>
        </is>
      </c>
      <c r="D70" s="2" t="inlineStr">
        <is>
          <t>Yes</t>
        </is>
      </c>
      <c r="E70" s="2" t="inlineStr">
        <is>
          <t>Planned</t>
        </is>
      </c>
      <c r="F70" s="2" t="inlineStr">
        <is>
          <t>Protect</t>
        </is>
      </c>
      <c r="G70" s="3" t="inlineStr">
        <is>
          <t>PR.DS Data Security</t>
        </is>
      </c>
      <c r="H70" s="2" t="inlineStr">
        <is>
          <t>Art. 9</t>
        </is>
      </c>
      <c r="I70" s="3" t="inlineStr">
        <is>
          <t>ICT risk management (Chapter II)</t>
        </is>
      </c>
      <c r="J70" s="2" t="inlineStr">
        <is>
          <t>Partial</t>
        </is>
      </c>
      <c r="K70" s="3" t="inlineStr"/>
    </row>
    <row r="71">
      <c r="A71" s="2" t="inlineStr">
        <is>
          <t>8.11</t>
        </is>
      </c>
      <c r="B71" s="3" t="inlineStr">
        <is>
          <t>Technological</t>
        </is>
      </c>
      <c r="C71" s="3" t="inlineStr">
        <is>
          <t>Data masking</t>
        </is>
      </c>
      <c r="D71" s="2" t="inlineStr">
        <is>
          <t>Yes</t>
        </is>
      </c>
      <c r="E71" s="2" t="inlineStr">
        <is>
          <t>Planned</t>
        </is>
      </c>
      <c r="F71" s="2" t="inlineStr">
        <is>
          <t>Protect</t>
        </is>
      </c>
      <c r="G71" s="3" t="inlineStr">
        <is>
          <t>PR.DS Data Security</t>
        </is>
      </c>
      <c r="H71" s="2" t="inlineStr">
        <is>
          <t>Art. 9</t>
        </is>
      </c>
      <c r="I71" s="3" t="inlineStr">
        <is>
          <t>ICT risk management (Chapter II)</t>
        </is>
      </c>
      <c r="J71" s="2" t="inlineStr">
        <is>
          <t>Partial</t>
        </is>
      </c>
      <c r="K71" s="3" t="inlineStr"/>
    </row>
    <row r="72">
      <c r="A72" s="2" t="inlineStr">
        <is>
          <t>8.12</t>
        </is>
      </c>
      <c r="B72" s="3" t="inlineStr">
        <is>
          <t>Technological</t>
        </is>
      </c>
      <c r="C72" s="3" t="inlineStr">
        <is>
          <t>Data leakage prevention</t>
        </is>
      </c>
      <c r="D72" s="2" t="inlineStr">
        <is>
          <t>Yes</t>
        </is>
      </c>
      <c r="E72" s="2" t="inlineStr">
        <is>
          <t>Planned</t>
        </is>
      </c>
      <c r="F72" s="2" t="inlineStr">
        <is>
          <t>Protect</t>
        </is>
      </c>
      <c r="G72" s="3" t="inlineStr">
        <is>
          <t>PR.DS Data Security</t>
        </is>
      </c>
      <c r="H72" s="2" t="inlineStr">
        <is>
          <t>Art. 9</t>
        </is>
      </c>
      <c r="I72" s="3" t="inlineStr">
        <is>
          <t>ICT risk management (Chapter II)</t>
        </is>
      </c>
      <c r="J72" s="2" t="inlineStr">
        <is>
          <t>Partial</t>
        </is>
      </c>
      <c r="K72" s="3" t="inlineStr"/>
    </row>
    <row r="73">
      <c r="A73" s="2" t="inlineStr">
        <is>
          <t>8.13</t>
        </is>
      </c>
      <c r="B73" s="3" t="inlineStr">
        <is>
          <t>Technological</t>
        </is>
      </c>
      <c r="C73" s="3" t="inlineStr">
        <is>
          <t>Information backup</t>
        </is>
      </c>
      <c r="D73" s="2" t="inlineStr">
        <is>
          <t>Yes</t>
        </is>
      </c>
      <c r="E73" s="2" t="inlineStr">
        <is>
          <t>Partially implemented</t>
        </is>
      </c>
      <c r="F73" s="2" t="inlineStr">
        <is>
          <t>Protect</t>
        </is>
      </c>
      <c r="G73" s="3" t="inlineStr">
        <is>
          <t>PR.DS Data Security</t>
        </is>
      </c>
      <c r="H73" s="2" t="inlineStr">
        <is>
          <t>Art. 12</t>
        </is>
      </c>
      <c r="I73" s="3" t="inlineStr">
        <is>
          <t>ICT risk management (Chapter II)</t>
        </is>
      </c>
      <c r="J73" s="2" t="inlineStr">
        <is>
          <t>Direct</t>
        </is>
      </c>
      <c r="K73" s="3" t="inlineStr">
        <is>
          <t>Backup and restoration policies and tests.</t>
        </is>
      </c>
    </row>
    <row r="74">
      <c r="A74" s="2" t="inlineStr">
        <is>
          <t>8.14</t>
        </is>
      </c>
      <c r="B74" s="3" t="inlineStr">
        <is>
          <t>Technological</t>
        </is>
      </c>
      <c r="C74" s="3" t="inlineStr">
        <is>
          <t>Redundancy of information processing facilities</t>
        </is>
      </c>
      <c r="D74" s="2" t="inlineStr">
        <is>
          <t>Yes</t>
        </is>
      </c>
      <c r="E74" s="2" t="inlineStr">
        <is>
          <t>Planned</t>
        </is>
      </c>
      <c r="F74" s="2" t="inlineStr">
        <is>
          <t>Protect</t>
        </is>
      </c>
      <c r="G74" s="3" t="inlineStr">
        <is>
          <t>PR.IR Technology Infrastructure Resilience</t>
        </is>
      </c>
      <c r="H74" s="2" t="inlineStr">
        <is>
          <t>Art. 11, 12</t>
        </is>
      </c>
      <c r="I74" s="3" t="inlineStr">
        <is>
          <t>ICT risk management (Chapter II)</t>
        </is>
      </c>
      <c r="J74" s="2" t="inlineStr">
        <is>
          <t>Direct</t>
        </is>
      </c>
      <c r="K74" s="3" t="inlineStr"/>
    </row>
    <row r="75">
      <c r="A75" s="2" t="inlineStr">
        <is>
          <t>8.15</t>
        </is>
      </c>
      <c r="B75" s="3" t="inlineStr">
        <is>
          <t>Technological</t>
        </is>
      </c>
      <c r="C75" s="3" t="inlineStr">
        <is>
          <t>Logging</t>
        </is>
      </c>
      <c r="D75" s="2" t="inlineStr">
        <is>
          <t>Yes</t>
        </is>
      </c>
      <c r="E75" s="2" t="inlineStr">
        <is>
          <t>Partially implemented</t>
        </is>
      </c>
      <c r="F75" s="2" t="inlineStr">
        <is>
          <t>Detect</t>
        </is>
      </c>
      <c r="G75" s="3" t="inlineStr">
        <is>
          <t>DE.CM Continuous Monitoring</t>
        </is>
      </c>
      <c r="H75" s="2" t="inlineStr">
        <is>
          <t>Art. 10</t>
        </is>
      </c>
      <c r="I75" s="3" t="inlineStr">
        <is>
          <t>ICT risk management (Chapter II)</t>
        </is>
      </c>
      <c r="J75" s="2" t="inlineStr">
        <is>
          <t>Direct</t>
        </is>
      </c>
      <c r="K75" s="3" t="inlineStr"/>
    </row>
    <row r="76">
      <c r="A76" s="2" t="inlineStr">
        <is>
          <t>8.16</t>
        </is>
      </c>
      <c r="B76" s="3" t="inlineStr">
        <is>
          <t>Technological</t>
        </is>
      </c>
      <c r="C76" s="3" t="inlineStr">
        <is>
          <t>Monitoring activities</t>
        </is>
      </c>
      <c r="D76" s="2" t="inlineStr">
        <is>
          <t>Yes</t>
        </is>
      </c>
      <c r="E76" s="2" t="inlineStr">
        <is>
          <t>Planned</t>
        </is>
      </c>
      <c r="F76" s="2" t="inlineStr">
        <is>
          <t>Detect</t>
        </is>
      </c>
      <c r="G76" s="3" t="inlineStr">
        <is>
          <t>DE.CM Continuous Monitoring</t>
        </is>
      </c>
      <c r="H76" s="2" t="inlineStr">
        <is>
          <t>Art. 10</t>
        </is>
      </c>
      <c r="I76" s="3" t="inlineStr">
        <is>
          <t>ICT risk management (Chapter II)</t>
        </is>
      </c>
      <c r="J76" s="2" t="inlineStr">
        <is>
          <t>Direct</t>
        </is>
      </c>
      <c r="K76" s="3" t="inlineStr"/>
    </row>
    <row r="77">
      <c r="A77" s="2" t="inlineStr">
        <is>
          <t>8.17</t>
        </is>
      </c>
      <c r="B77" s="3" t="inlineStr">
        <is>
          <t>Technological</t>
        </is>
      </c>
      <c r="C77" s="3" t="inlineStr">
        <is>
          <t>Clock synchronization</t>
        </is>
      </c>
      <c r="D77" s="2" t="inlineStr">
        <is>
          <t>Yes</t>
        </is>
      </c>
      <c r="E77" s="2" t="inlineStr">
        <is>
          <t>Implemented</t>
        </is>
      </c>
      <c r="F77" s="2" t="inlineStr">
        <is>
          <t>Detect</t>
        </is>
      </c>
      <c r="G77" s="3" t="inlineStr">
        <is>
          <t>DE.CM Continuous Monitoring</t>
        </is>
      </c>
      <c r="H77" s="2" t="inlineStr">
        <is>
          <t>Art. 10</t>
        </is>
      </c>
      <c r="I77" s="3" t="inlineStr">
        <is>
          <t>ICT risk management (Chapter II)</t>
        </is>
      </c>
      <c r="J77" s="2" t="inlineStr">
        <is>
          <t>Partial</t>
        </is>
      </c>
      <c r="K77" s="3" t="inlineStr">
        <is>
          <t>Supports reliable logs.</t>
        </is>
      </c>
    </row>
    <row r="78">
      <c r="A78" s="2" t="inlineStr">
        <is>
          <t>8.18</t>
        </is>
      </c>
      <c r="B78" s="3" t="inlineStr">
        <is>
          <t>Technological</t>
        </is>
      </c>
      <c r="C78" s="3" t="inlineStr">
        <is>
          <t>Use of privileged utility programs</t>
        </is>
      </c>
      <c r="D78" s="2" t="inlineStr">
        <is>
          <t>No</t>
        </is>
      </c>
      <c r="E78" s="2" t="inlineStr">
        <is>
          <t>Not applicable</t>
        </is>
      </c>
      <c r="F78" s="2" t="inlineStr">
        <is>
          <t>Protect</t>
        </is>
      </c>
      <c r="G78" s="3" t="inlineStr">
        <is>
          <t>PR.PS Platform Security</t>
        </is>
      </c>
      <c r="H78" s="2" t="inlineStr">
        <is>
          <t>Art. 9</t>
        </is>
      </c>
      <c r="I78" s="3" t="inlineStr">
        <is>
          <t>ICT risk management (Chapter II)</t>
        </is>
      </c>
      <c r="J78" s="2" t="inlineStr">
        <is>
          <t>Partial</t>
        </is>
      </c>
      <c r="K78" s="3" t="inlineStr">
        <is>
          <t>Excluded in the SoA, shown for completeness.</t>
        </is>
      </c>
    </row>
    <row r="79">
      <c r="A79" s="2" t="inlineStr">
        <is>
          <t>8.19</t>
        </is>
      </c>
      <c r="B79" s="3" t="inlineStr">
        <is>
          <t>Technological</t>
        </is>
      </c>
      <c r="C79" s="3" t="inlineStr">
        <is>
          <t>Installation of software on operational systems</t>
        </is>
      </c>
      <c r="D79" s="2" t="inlineStr">
        <is>
          <t>Yes</t>
        </is>
      </c>
      <c r="E79" s="2" t="inlineStr">
        <is>
          <t>Planned</t>
        </is>
      </c>
      <c r="F79" s="2" t="inlineStr">
        <is>
          <t>Protect</t>
        </is>
      </c>
      <c r="G79" s="3" t="inlineStr">
        <is>
          <t>PR.PS Platform Security</t>
        </is>
      </c>
      <c r="H79" s="2" t="inlineStr">
        <is>
          <t>Art. 9</t>
        </is>
      </c>
      <c r="I79" s="3" t="inlineStr">
        <is>
          <t>ICT risk management (Chapter II)</t>
        </is>
      </c>
      <c r="J79" s="2" t="inlineStr">
        <is>
          <t>Partial</t>
        </is>
      </c>
      <c r="K79" s="3" t="inlineStr"/>
    </row>
    <row r="80">
      <c r="A80" s="2" t="inlineStr">
        <is>
          <t>8.20</t>
        </is>
      </c>
      <c r="B80" s="3" t="inlineStr">
        <is>
          <t>Technological</t>
        </is>
      </c>
      <c r="C80" s="3" t="inlineStr">
        <is>
          <t>Networks security</t>
        </is>
      </c>
      <c r="D80" s="2" t="inlineStr">
        <is>
          <t>Yes</t>
        </is>
      </c>
      <c r="E80" s="2" t="inlineStr">
        <is>
          <t>Planned</t>
        </is>
      </c>
      <c r="F80" s="2" t="inlineStr">
        <is>
          <t>Protect</t>
        </is>
      </c>
      <c r="G80" s="3" t="inlineStr">
        <is>
          <t>PR.IR Technology Infrastructure Resilience</t>
        </is>
      </c>
      <c r="H80" s="2" t="inlineStr">
        <is>
          <t>Art. 9</t>
        </is>
      </c>
      <c r="I80" s="3" t="inlineStr">
        <is>
          <t>ICT risk management (Chapter II)</t>
        </is>
      </c>
      <c r="J80" s="2" t="inlineStr">
        <is>
          <t>Direct</t>
        </is>
      </c>
      <c r="K80" s="3" t="inlineStr"/>
    </row>
    <row r="81">
      <c r="A81" s="2" t="inlineStr">
        <is>
          <t>8.21</t>
        </is>
      </c>
      <c r="B81" s="3" t="inlineStr">
        <is>
          <t>Technological</t>
        </is>
      </c>
      <c r="C81" s="3" t="inlineStr">
        <is>
          <t>Security of network services</t>
        </is>
      </c>
      <c r="D81" s="2" t="inlineStr">
        <is>
          <t>Yes</t>
        </is>
      </c>
      <c r="E81" s="2" t="inlineStr">
        <is>
          <t>Planned</t>
        </is>
      </c>
      <c r="F81" s="2" t="inlineStr">
        <is>
          <t>Protect</t>
        </is>
      </c>
      <c r="G81" s="3" t="inlineStr">
        <is>
          <t>PR.IR Technology Infrastructure Resilience</t>
        </is>
      </c>
      <c r="H81" s="2" t="inlineStr">
        <is>
          <t>Art. 9</t>
        </is>
      </c>
      <c r="I81" s="3" t="inlineStr">
        <is>
          <t>ICT risk management (Chapter II)</t>
        </is>
      </c>
      <c r="J81" s="2" t="inlineStr">
        <is>
          <t>Partial</t>
        </is>
      </c>
      <c r="K81" s="3" t="inlineStr"/>
    </row>
    <row r="82">
      <c r="A82" s="2" t="inlineStr">
        <is>
          <t>8.22</t>
        </is>
      </c>
      <c r="B82" s="3" t="inlineStr">
        <is>
          <t>Technological</t>
        </is>
      </c>
      <c r="C82" s="3" t="inlineStr">
        <is>
          <t>Segregation of networks</t>
        </is>
      </c>
      <c r="D82" s="2" t="inlineStr">
        <is>
          <t>Yes</t>
        </is>
      </c>
      <c r="E82" s="2" t="inlineStr">
        <is>
          <t>Planned</t>
        </is>
      </c>
      <c r="F82" s="2" t="inlineStr">
        <is>
          <t>Protect</t>
        </is>
      </c>
      <c r="G82" s="3" t="inlineStr">
        <is>
          <t>PR.IR Technology Infrastructure Resilience</t>
        </is>
      </c>
      <c r="H82" s="2" t="inlineStr">
        <is>
          <t>Art. 9</t>
        </is>
      </c>
      <c r="I82" s="3" t="inlineStr">
        <is>
          <t>ICT risk management (Chapter II)</t>
        </is>
      </c>
      <c r="J82" s="2" t="inlineStr">
        <is>
          <t>Partial</t>
        </is>
      </c>
      <c r="K82" s="3" t="inlineStr"/>
    </row>
    <row r="83">
      <c r="A83" s="2" t="inlineStr">
        <is>
          <t>8.23</t>
        </is>
      </c>
      <c r="B83" s="3" t="inlineStr">
        <is>
          <t>Technological</t>
        </is>
      </c>
      <c r="C83" s="3" t="inlineStr">
        <is>
          <t>Web filtering</t>
        </is>
      </c>
      <c r="D83" s="2" t="inlineStr">
        <is>
          <t>Yes</t>
        </is>
      </c>
      <c r="E83" s="2" t="inlineStr">
        <is>
          <t>Planned</t>
        </is>
      </c>
      <c r="F83" s="2" t="inlineStr">
        <is>
          <t>Protect</t>
        </is>
      </c>
      <c r="G83" s="3" t="inlineStr">
        <is>
          <t>PR.IR Technology Infrastructure Resilience</t>
        </is>
      </c>
      <c r="H83" s="2" t="inlineStr">
        <is>
          <t>Art. 9</t>
        </is>
      </c>
      <c r="I83" s="3" t="inlineStr">
        <is>
          <t>ICT risk management (Chapter II)</t>
        </is>
      </c>
      <c r="J83" s="2" t="inlineStr">
        <is>
          <t>Partial</t>
        </is>
      </c>
      <c r="K83" s="3" t="inlineStr"/>
    </row>
    <row r="84">
      <c r="A84" s="2" t="inlineStr">
        <is>
          <t>8.24</t>
        </is>
      </c>
      <c r="B84" s="3" t="inlineStr">
        <is>
          <t>Technological</t>
        </is>
      </c>
      <c r="C84" s="3" t="inlineStr">
        <is>
          <t>Use of cryptography</t>
        </is>
      </c>
      <c r="D84" s="2" t="inlineStr">
        <is>
          <t>Yes</t>
        </is>
      </c>
      <c r="E84" s="2" t="inlineStr">
        <is>
          <t>Partially implemented</t>
        </is>
      </c>
      <c r="F84" s="2" t="inlineStr">
        <is>
          <t>Protect</t>
        </is>
      </c>
      <c r="G84" s="3" t="inlineStr">
        <is>
          <t>PR.DS Data Security</t>
        </is>
      </c>
      <c r="H84" s="2" t="inlineStr">
        <is>
          <t>Art. 9</t>
        </is>
      </c>
      <c r="I84" s="3" t="inlineStr">
        <is>
          <t>ICT risk management (Chapter II)</t>
        </is>
      </c>
      <c r="J84" s="2" t="inlineStr">
        <is>
          <t>Direct</t>
        </is>
      </c>
      <c r="K84" s="3" t="inlineStr">
        <is>
          <t>DORA names encryption based on data classification.</t>
        </is>
      </c>
    </row>
    <row r="85">
      <c r="A85" s="2" t="inlineStr">
        <is>
          <t>8.25</t>
        </is>
      </c>
      <c r="B85" s="3" t="inlineStr">
        <is>
          <t>Technological</t>
        </is>
      </c>
      <c r="C85" s="3" t="inlineStr">
        <is>
          <t>Secure development life cycle</t>
        </is>
      </c>
      <c r="D85" s="2" t="inlineStr">
        <is>
          <t>Yes</t>
        </is>
      </c>
      <c r="E85" s="2" t="inlineStr">
        <is>
          <t>Partially implemented</t>
        </is>
      </c>
      <c r="F85" s="2" t="inlineStr">
        <is>
          <t>Protect</t>
        </is>
      </c>
      <c r="G85" s="3" t="inlineStr">
        <is>
          <t>PR.PS Platform Security</t>
        </is>
      </c>
      <c r="H85" s="2" t="inlineStr">
        <is>
          <t>Art. 9</t>
        </is>
      </c>
      <c r="I85" s="3" t="inlineStr">
        <is>
          <t>ICT risk management (Chapter II)</t>
        </is>
      </c>
      <c r="J85" s="2" t="inlineStr">
        <is>
          <t>Partial</t>
        </is>
      </c>
      <c r="K85" s="3" t="inlineStr"/>
    </row>
    <row r="86">
      <c r="A86" s="2" t="inlineStr">
        <is>
          <t>8.26</t>
        </is>
      </c>
      <c r="B86" s="3" t="inlineStr">
        <is>
          <t>Technological</t>
        </is>
      </c>
      <c r="C86" s="3" t="inlineStr">
        <is>
          <t>Application security requirements</t>
        </is>
      </c>
      <c r="D86" s="2" t="inlineStr">
        <is>
          <t>Yes</t>
        </is>
      </c>
      <c r="E86" s="2" t="inlineStr">
        <is>
          <t>Planned</t>
        </is>
      </c>
      <c r="F86" s="2" t="inlineStr">
        <is>
          <t>Protect</t>
        </is>
      </c>
      <c r="G86" s="3" t="inlineStr">
        <is>
          <t>PR.PS Platform Security</t>
        </is>
      </c>
      <c r="H86" s="2" t="inlineStr">
        <is>
          <t>Art. 9</t>
        </is>
      </c>
      <c r="I86" s="3" t="inlineStr">
        <is>
          <t>ICT risk management (Chapter II)</t>
        </is>
      </c>
      <c r="J86" s="2" t="inlineStr">
        <is>
          <t>Partial</t>
        </is>
      </c>
      <c r="K86" s="3" t="inlineStr"/>
    </row>
    <row r="87">
      <c r="A87" s="2" t="inlineStr">
        <is>
          <t>8.27</t>
        </is>
      </c>
      <c r="B87" s="3" t="inlineStr">
        <is>
          <t>Technological</t>
        </is>
      </c>
      <c r="C87" s="3" t="inlineStr">
        <is>
          <t>Secure system architecture and engineering principles</t>
        </is>
      </c>
      <c r="D87" s="2" t="inlineStr">
        <is>
          <t>Yes</t>
        </is>
      </c>
      <c r="E87" s="2" t="inlineStr">
        <is>
          <t>Planned</t>
        </is>
      </c>
      <c r="F87" s="2" t="inlineStr">
        <is>
          <t>Protect</t>
        </is>
      </c>
      <c r="G87" s="3" t="inlineStr">
        <is>
          <t>PR.PS Platform Security</t>
        </is>
      </c>
      <c r="H87" s="2" t="inlineStr">
        <is>
          <t>Art. 7, 9</t>
        </is>
      </c>
      <c r="I87" s="3" t="inlineStr">
        <is>
          <t>ICT risk management (Chapter II)</t>
        </is>
      </c>
      <c r="J87" s="2" t="inlineStr">
        <is>
          <t>Partial</t>
        </is>
      </c>
      <c r="K87" s="3" t="inlineStr"/>
    </row>
    <row r="88">
      <c r="A88" s="2" t="inlineStr">
        <is>
          <t>8.28</t>
        </is>
      </c>
      <c r="B88" s="3" t="inlineStr">
        <is>
          <t>Technological</t>
        </is>
      </c>
      <c r="C88" s="3" t="inlineStr">
        <is>
          <t>Secure coding</t>
        </is>
      </c>
      <c r="D88" s="2" t="inlineStr">
        <is>
          <t>Yes</t>
        </is>
      </c>
      <c r="E88" s="2" t="inlineStr">
        <is>
          <t>Planned</t>
        </is>
      </c>
      <c r="F88" s="2" t="inlineStr">
        <is>
          <t>Protect</t>
        </is>
      </c>
      <c r="G88" s="3" t="inlineStr">
        <is>
          <t>PR.PS Platform Security</t>
        </is>
      </c>
      <c r="H88" s="2" t="inlineStr">
        <is>
          <t>Art. 9</t>
        </is>
      </c>
      <c r="I88" s="3" t="inlineStr">
        <is>
          <t>ICT risk management (Chapter II)</t>
        </is>
      </c>
      <c r="J88" s="2" t="inlineStr">
        <is>
          <t>Partial</t>
        </is>
      </c>
      <c r="K88" s="3" t="inlineStr"/>
    </row>
    <row r="89">
      <c r="A89" s="2" t="inlineStr">
        <is>
          <t>8.29</t>
        </is>
      </c>
      <c r="B89" s="3" t="inlineStr">
        <is>
          <t>Technological</t>
        </is>
      </c>
      <c r="C89" s="3" t="inlineStr">
        <is>
          <t>Security testing in development and acceptance</t>
        </is>
      </c>
      <c r="D89" s="2" t="inlineStr">
        <is>
          <t>Yes</t>
        </is>
      </c>
      <c r="E89" s="2" t="inlineStr">
        <is>
          <t>Planned</t>
        </is>
      </c>
      <c r="F89" s="2" t="inlineStr">
        <is>
          <t>Identify</t>
        </is>
      </c>
      <c r="G89" s="3" t="inlineStr">
        <is>
          <t>ID.IM Improvement</t>
        </is>
      </c>
      <c r="H89" s="2" t="inlineStr">
        <is>
          <t>Art. 24, 25</t>
        </is>
      </c>
      <c r="I89" s="3" t="inlineStr">
        <is>
          <t>Resilience testing (Chapter IV)</t>
        </is>
      </c>
      <c r="J89" s="2" t="inlineStr">
        <is>
          <t>Direct</t>
        </is>
      </c>
      <c r="K89" s="3" t="inlineStr">
        <is>
          <t>DORA needs a yearly testing programme, wider than ISO 8.29.</t>
        </is>
      </c>
    </row>
    <row r="90">
      <c r="A90" s="2" t="inlineStr">
        <is>
          <t>8.30</t>
        </is>
      </c>
      <c r="B90" s="3" t="inlineStr">
        <is>
          <t>Technological</t>
        </is>
      </c>
      <c r="C90" s="3" t="inlineStr">
        <is>
          <t>Outsourced development</t>
        </is>
      </c>
      <c r="D90" s="2" t="inlineStr">
        <is>
          <t>No</t>
        </is>
      </c>
      <c r="E90" s="2" t="inlineStr">
        <is>
          <t>Not applicable</t>
        </is>
      </c>
      <c r="F90" s="2" t="inlineStr">
        <is>
          <t>Govern</t>
        </is>
      </c>
      <c r="G90" s="3" t="inlineStr">
        <is>
          <t>GV.SC Cybersecurity Supply Chain Risk Management</t>
        </is>
      </c>
      <c r="H90" s="2" t="inlineStr">
        <is>
          <t>Art. 28</t>
        </is>
      </c>
      <c r="I90" s="3" t="inlineStr">
        <is>
          <t>ICT third-party risk (Chapter V)</t>
        </is>
      </c>
      <c r="J90" s="2" t="inlineStr">
        <is>
          <t>Partial</t>
        </is>
      </c>
      <c r="K90" s="3" t="inlineStr">
        <is>
          <t>Excluded in the SoA, shown for completeness.</t>
        </is>
      </c>
    </row>
    <row r="91">
      <c r="A91" s="2" t="inlineStr">
        <is>
          <t>8.31</t>
        </is>
      </c>
      <c r="B91" s="3" t="inlineStr">
        <is>
          <t>Technological</t>
        </is>
      </c>
      <c r="C91" s="3" t="inlineStr">
        <is>
          <t>Separation of development, test and production environments</t>
        </is>
      </c>
      <c r="D91" s="2" t="inlineStr">
        <is>
          <t>Yes</t>
        </is>
      </c>
      <c r="E91" s="2" t="inlineStr">
        <is>
          <t>Partially implemented</t>
        </is>
      </c>
      <c r="F91" s="2" t="inlineStr">
        <is>
          <t>Protect</t>
        </is>
      </c>
      <c r="G91" s="3" t="inlineStr">
        <is>
          <t>PR.PS Platform Security</t>
        </is>
      </c>
      <c r="H91" s="2" t="inlineStr">
        <is>
          <t>Art. 9</t>
        </is>
      </c>
      <c r="I91" s="3" t="inlineStr">
        <is>
          <t>ICT risk management (Chapter II)</t>
        </is>
      </c>
      <c r="J91" s="2" t="inlineStr">
        <is>
          <t>Partial</t>
        </is>
      </c>
      <c r="K91" s="3" t="inlineStr"/>
    </row>
    <row r="92">
      <c r="A92" s="2" t="inlineStr">
        <is>
          <t>8.32</t>
        </is>
      </c>
      <c r="B92" s="3" t="inlineStr">
        <is>
          <t>Technological</t>
        </is>
      </c>
      <c r="C92" s="3" t="inlineStr">
        <is>
          <t>Change management</t>
        </is>
      </c>
      <c r="D92" s="2" t="inlineStr">
        <is>
          <t>Yes</t>
        </is>
      </c>
      <c r="E92" s="2" t="inlineStr">
        <is>
          <t>Planned</t>
        </is>
      </c>
      <c r="F92" s="2" t="inlineStr">
        <is>
          <t>Protect</t>
        </is>
      </c>
      <c r="G92" s="3" t="inlineStr">
        <is>
          <t>PR.PS Platform Security</t>
        </is>
      </c>
      <c r="H92" s="2" t="inlineStr">
        <is>
          <t>Art. 9</t>
        </is>
      </c>
      <c r="I92" s="3" t="inlineStr">
        <is>
          <t>ICT risk management (Chapter II)</t>
        </is>
      </c>
      <c r="J92" s="2" t="inlineStr">
        <is>
          <t>Direct</t>
        </is>
      </c>
      <c r="K92" s="3" t="inlineStr">
        <is>
          <t>DORA names ICT change management.</t>
        </is>
      </c>
    </row>
    <row r="93">
      <c r="A93" s="2" t="inlineStr">
        <is>
          <t>8.33</t>
        </is>
      </c>
      <c r="B93" s="3" t="inlineStr">
        <is>
          <t>Technological</t>
        </is>
      </c>
      <c r="C93" s="3" t="inlineStr">
        <is>
          <t>Test information</t>
        </is>
      </c>
      <c r="D93" s="2" t="inlineStr">
        <is>
          <t>Yes</t>
        </is>
      </c>
      <c r="E93" s="2" t="inlineStr">
        <is>
          <t>Planned</t>
        </is>
      </c>
      <c r="F93" s="2" t="inlineStr">
        <is>
          <t>Protect</t>
        </is>
      </c>
      <c r="G93" s="3" t="inlineStr">
        <is>
          <t>PR.DS Data Security</t>
        </is>
      </c>
      <c r="H93" s="2" t="inlineStr">
        <is>
          <t>Art. 9</t>
        </is>
      </c>
      <c r="I93" s="3" t="inlineStr">
        <is>
          <t>ICT risk management (Chapter II)</t>
        </is>
      </c>
      <c r="J93" s="2" t="inlineStr">
        <is>
          <t>Partial</t>
        </is>
      </c>
      <c r="K93" s="3" t="inlineStr"/>
    </row>
    <row r="94">
      <c r="A94" s="2" t="inlineStr">
        <is>
          <t>8.34</t>
        </is>
      </c>
      <c r="B94" s="3" t="inlineStr">
        <is>
          <t>Technological</t>
        </is>
      </c>
      <c r="C94" s="3" t="inlineStr">
        <is>
          <t>Protection of information systems during audit testing</t>
        </is>
      </c>
      <c r="D94" s="2" t="inlineStr">
        <is>
          <t>Yes</t>
        </is>
      </c>
      <c r="E94" s="2" t="inlineStr">
        <is>
          <t>Planned</t>
        </is>
      </c>
      <c r="F94" s="2" t="inlineStr">
        <is>
          <t>Identify</t>
        </is>
      </c>
      <c r="G94" s="3" t="inlineStr">
        <is>
          <t>ID.IM Improvement</t>
        </is>
      </c>
      <c r="H94" s="2" t="inlineStr">
        <is>
          <t>Art. 24, 25</t>
        </is>
      </c>
      <c r="I94" s="3" t="inlineStr">
        <is>
          <t>Resilience testing (Chapter IV)</t>
        </is>
      </c>
      <c r="J94" s="2" t="inlineStr">
        <is>
          <t>Partial</t>
        </is>
      </c>
      <c r="K94" s="3" t="inlineStr"/>
    </row>
  </sheetData>
  <autoFilter ref="A1:K94"/>
  <conditionalFormatting sqref="J2:J94">
    <cfRule type="expression" priority="1" dxfId="0">
      <formula>$J2="Direct"</formula>
    </cfRule>
    <cfRule type="expression" priority="2" dxfId="1">
      <formula>$J2="Partial"</formula>
    </cfRule>
    <cfRule type="expression" priority="3" dxfId="2">
      <formula>$J2="None"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60" customWidth="1" min="3" max="3"/>
    <col width="16" customWidth="1" min="4" max="4"/>
    <col width="22" customWidth="1" min="5" max="5"/>
    <col width="14" customWidth="1" min="6" max="6"/>
    <col width="56" customWidth="1" min="7" max="7"/>
  </cols>
  <sheetData>
    <row r="1" ht="28" customHeight="1">
      <c r="A1" s="1" t="inlineStr">
        <is>
          <t>DORA topic</t>
        </is>
      </c>
      <c r="B1" s="1" t="inlineStr">
        <is>
          <t>Article(s)</t>
        </is>
      </c>
      <c r="C1" s="1" t="inlineStr">
        <is>
          <t>What DORA expects</t>
        </is>
      </c>
      <c r="D1" s="1" t="inlineStr">
        <is>
          <t>Starter kit coverage</t>
        </is>
      </c>
      <c r="E1" s="1" t="inlineStr">
        <is>
          <t>Related Annex A controls</t>
        </is>
      </c>
      <c r="F1" s="1" t="inlineStr">
        <is>
          <t>Linked risks</t>
        </is>
      </c>
      <c r="G1" s="1" t="inlineStr">
        <is>
          <t>Next step</t>
        </is>
      </c>
    </row>
    <row r="2">
      <c r="A2" s="4" t="inlineStr">
        <is>
          <t>Register of information on ICT third-party arrangements</t>
        </is>
      </c>
      <c r="B2" s="4" t="inlineStr">
        <is>
          <t>Art. 28</t>
        </is>
      </c>
      <c r="C2" s="4" t="inlineStr">
        <is>
          <t>A maintained register of all contracts with ICT third-party providers, including which services support critical functions.</t>
        </is>
      </c>
      <c r="D2" s="4" t="inlineStr">
        <is>
          <t>Not covered</t>
        </is>
      </c>
      <c r="E2" s="4" t="inlineStr">
        <is>
          <t>5.19, 5.22</t>
        </is>
      </c>
      <c r="F2" s="4" t="inlineStr">
        <is>
          <t>R09</t>
        </is>
      </c>
      <c r="G2" s="4" t="inlineStr">
        <is>
          <t>Create a supplier register using the template from the vendor risk project.</t>
        </is>
      </c>
    </row>
    <row r="3">
      <c r="A3" s="4" t="inlineStr">
        <is>
          <t>Exit strategies and termination of ICT third-party services</t>
        </is>
      </c>
      <c r="B3" s="4" t="inlineStr">
        <is>
          <t>Art. 28</t>
        </is>
      </c>
      <c r="C3" s="4" t="inlineStr">
        <is>
          <t>Documented exit plans and tested alternatives for services that support critical functions.</t>
        </is>
      </c>
      <c r="D3" s="4" t="inlineStr">
        <is>
          <t>Not covered</t>
        </is>
      </c>
      <c r="E3" s="4" t="inlineStr">
        <is>
          <t>5.22, 5.30</t>
        </is>
      </c>
      <c r="F3" s="4" t="inlineStr">
        <is>
          <t>R09, R16</t>
        </is>
      </c>
      <c r="G3" s="4" t="inlineStr">
        <is>
          <t>Add an exit plan section for the three key suppliers.</t>
        </is>
      </c>
    </row>
    <row r="4">
      <c r="A4" s="4" t="inlineStr">
        <is>
          <t>ICT concentration risk</t>
        </is>
      </c>
      <c r="B4" s="4" t="inlineStr">
        <is>
          <t>Art. 29</t>
        </is>
      </c>
      <c r="C4" s="4" t="inlineStr">
        <is>
          <t>Assess dependence on a single provider or on providers that are closely connected.</t>
        </is>
      </c>
      <c r="D4" s="4" t="inlineStr">
        <is>
          <t>Not covered</t>
        </is>
      </c>
      <c r="E4" s="4" t="inlineStr">
        <is>
          <t>5.21</t>
        </is>
      </c>
      <c r="F4" s="4" t="inlineStr">
        <is>
          <t>R09</t>
        </is>
      </c>
      <c r="G4" s="4" t="inlineStr">
        <is>
          <t>Note in the vendor risk assessment that Azure carries most of StoreSight.</t>
        </is>
      </c>
    </row>
    <row r="5">
      <c r="A5" s="4" t="inlineStr">
        <is>
          <t>Key contractual provisions</t>
        </is>
      </c>
      <c r="B5" s="4" t="inlineStr">
        <is>
          <t>Art. 30</t>
        </is>
      </c>
      <c r="C5" s="4" t="inlineStr">
        <is>
          <t>Contracts must cover service levels, audit and access rights, incident support, sub-outsourcing and exit.</t>
        </is>
      </c>
      <c r="D5" s="4" t="inlineStr">
        <is>
          <t>Partly covered</t>
        </is>
      </c>
      <c r="E5" s="4" t="inlineStr">
        <is>
          <t>5.20</t>
        </is>
      </c>
      <c r="F5" s="4" t="inlineStr">
        <is>
          <t>R09</t>
        </is>
      </c>
      <c r="G5" s="4" t="inlineStr">
        <is>
          <t>Compare the three key contracts against an Art. 30 checklist.</t>
        </is>
      </c>
    </row>
    <row r="6">
      <c r="A6" s="4" t="inlineStr">
        <is>
          <t>Major incident classification and regulatory reporting</t>
        </is>
      </c>
      <c r="B6" s="4" t="inlineStr">
        <is>
          <t>Art. 17, 18, 19</t>
        </is>
      </c>
      <c r="C6" s="4" t="inlineStr">
        <is>
          <t>Classify incidents against set criteria and report major ones to the authority in short staged deadlines (initial, intermediate, final). Check the current technical standards for exact times.</t>
        </is>
      </c>
      <c r="D6" s="4" t="inlineStr">
        <is>
          <t>Partly covered</t>
        </is>
      </c>
      <c r="E6" s="4" t="inlineStr">
        <is>
          <t>5.24, 5.25, 5.26</t>
        </is>
      </c>
      <c r="F6" s="4" t="inlineStr">
        <is>
          <t>R23, R24</t>
        </is>
      </c>
      <c r="G6" s="4" t="inlineStr">
        <is>
          <t>Add DORA classification criteria and staged timelines next to the NIS2 and GDPR lines in the incident policy.</t>
        </is>
      </c>
    </row>
    <row r="7">
      <c r="A7" s="4" t="inlineStr">
        <is>
          <t>Digital operational resilience testing programme</t>
        </is>
      </c>
      <c r="B7" s="4" t="inlineStr">
        <is>
          <t>Art. 24, 25, 26</t>
        </is>
      </c>
      <c r="C7" s="4" t="inlineStr">
        <is>
          <t>A yearly risk-based testing programme (vulnerability scans, scenario tests); advanced threat-led testing for significant entities.</t>
        </is>
      </c>
      <c r="D7" s="4" t="inlineStr">
        <is>
          <t>Partly covered</t>
        </is>
      </c>
      <c r="E7" s="4" t="inlineStr">
        <is>
          <t>8.8, 8.29</t>
        </is>
      </c>
      <c r="F7" s="4" t="inlineStr">
        <is>
          <t>R14, R23</t>
        </is>
      </c>
      <c r="G7" s="4" t="inlineStr">
        <is>
          <t>Write a one-page annual testing plan covering scans, restore test and the tabletop exercise.</t>
        </is>
      </c>
    </row>
    <row r="8">
      <c r="A8" s="4" t="inlineStr">
        <is>
          <t>ICT business continuity, response and recovery plans</t>
        </is>
      </c>
      <c r="B8" s="4" t="inlineStr">
        <is>
          <t>Art. 11, 12</t>
        </is>
      </c>
      <c r="C8" s="4" t="inlineStr">
        <is>
          <t>Tested continuity and recovery plans with recovery time and recovery point targets, and backup restoration tests.</t>
        </is>
      </c>
      <c r="D8" s="4" t="inlineStr">
        <is>
          <t>Partly covered</t>
        </is>
      </c>
      <c r="E8" s="4" t="inlineStr">
        <is>
          <t>5.29, 5.30, 8.13, 8.14</t>
        </is>
      </c>
      <c r="F8" s="4" t="inlineStr">
        <is>
          <t>R08, R16</t>
        </is>
      </c>
      <c r="G8" s="4" t="inlineStr">
        <is>
          <t>Set recovery targets for StoreSight and record the first restore test.</t>
        </is>
      </c>
    </row>
    <row r="9">
      <c r="A9" s="4" t="inlineStr">
        <is>
          <t>Management body accountability and training</t>
        </is>
      </c>
      <c r="B9" s="4" t="inlineStr">
        <is>
          <t>Art. 5, 13</t>
        </is>
      </c>
      <c r="C9" s="4" t="inlineStr">
        <is>
          <t>Management approves and oversees the ICT risk framework and keeps its own training current.</t>
        </is>
      </c>
      <c r="D9" s="4" t="inlineStr">
        <is>
          <t>Partly covered</t>
        </is>
      </c>
      <c r="E9" s="4" t="inlineStr">
        <is>
          <t>5.2, 5.4, 6.3</t>
        </is>
      </c>
      <c r="F9" s="4" t="inlineStr">
        <is>
          <t>R21</t>
        </is>
      </c>
      <c r="G9" s="4" t="inlineStr">
        <is>
          <t>Add a yearly management review and management training line to the ISMS.</t>
        </is>
      </c>
    </row>
    <row r="10">
      <c r="A10" s="4" t="inlineStr">
        <is>
          <t>Information-sharing arrangements</t>
        </is>
      </c>
      <c r="B10" s="4" t="inlineStr">
        <is>
          <t>Art. 45</t>
        </is>
      </c>
      <c r="C10" s="4" t="inlineStr">
        <is>
          <t>Voluntary exchange of cyber threat information with trusted communities.</t>
        </is>
      </c>
      <c r="D10" s="4" t="inlineStr">
        <is>
          <t>Partly covered</t>
        </is>
      </c>
      <c r="E10" s="4" t="inlineStr">
        <is>
          <t>5.6, 5.7</t>
        </is>
      </c>
      <c r="F10" s="4" t="inlineStr">
        <is>
          <t>R14</t>
        </is>
      </c>
      <c r="G10" s="4" t="inlineStr">
        <is>
          <t>Join BSI and vendor advisory feeds (already planned under 5.6).</t>
        </is>
      </c>
    </row>
  </sheetData>
  <conditionalFormatting sqref="D2:D10">
    <cfRule type="expression" priority="1" dxfId="3">
      <formula>$D2="Not covered"</formula>
    </cfRule>
    <cfRule type="expression" priority="2" dxfId="1">
      <formula>$D2="Partly covered"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</cols>
  <sheetData>
    <row r="1">
      <c r="A1" s="5" t="inlineStr">
        <is>
          <t>Framework mapping</t>
        </is>
      </c>
      <c r="B1" s="6" t="n"/>
      <c r="C1" s="6" t="n"/>
    </row>
    <row r="2">
      <c r="A2" s="6" t="inlineStr">
        <is>
          <t>Havelmetrics GmbH. Personal project on a fictional company.</t>
        </is>
      </c>
      <c r="B2" s="6" t="n"/>
      <c r="C2" s="6" t="n"/>
    </row>
    <row r="3">
      <c r="A3" s="6" t="inlineStr">
        <is>
          <t>ISO/IEC 27001:2022 Annex A mapped to NIST CSF 2.0 and DORA</t>
        </is>
      </c>
      <c r="B3" s="6" t="n"/>
      <c r="C3" s="6" t="n"/>
    </row>
    <row r="4">
      <c r="A4" s="6" t="inlineStr">
        <is>
          <t>Version 1.0 draft. Indicative mapping, see the How to read sheet.</t>
        </is>
      </c>
      <c r="B4" s="6" t="n"/>
      <c r="C4" s="6" t="n"/>
    </row>
    <row r="5">
      <c r="A5" s="6" t="n"/>
      <c r="B5" s="6" t="n"/>
      <c r="C5" s="6" t="n"/>
    </row>
    <row r="6">
      <c r="A6" s="7" t="inlineStr">
        <is>
          <t>NIST CSF 2.0 function</t>
        </is>
      </c>
      <c r="B6" s="7" t="inlineStr">
        <is>
          <t>Controls</t>
        </is>
      </c>
      <c r="C6" s="7" t="inlineStr">
        <is>
          <t>Of which applicable</t>
        </is>
      </c>
    </row>
    <row r="7">
      <c r="A7" s="6" t="inlineStr">
        <is>
          <t>Govern</t>
        </is>
      </c>
      <c r="B7" s="6">
        <f>COUNTIF(Mapping!F2:F94,A7)</f>
        <v/>
      </c>
      <c r="C7" s="6">
        <f>COUNTIFS(Mapping!F2:F94,A7,Mapping!D2:D94,"Yes")</f>
        <v/>
      </c>
    </row>
    <row r="8">
      <c r="A8" s="6" t="inlineStr">
        <is>
          <t>Identify</t>
        </is>
      </c>
      <c r="B8" s="6">
        <f>COUNTIF(Mapping!F2:F94,A8)</f>
        <v/>
      </c>
      <c r="C8" s="6">
        <f>COUNTIFS(Mapping!F2:F94,A8,Mapping!D2:D94,"Yes")</f>
        <v/>
      </c>
    </row>
    <row r="9">
      <c r="A9" s="6" t="inlineStr">
        <is>
          <t>Protect</t>
        </is>
      </c>
      <c r="B9" s="6">
        <f>COUNTIF(Mapping!F2:F94,A9)</f>
        <v/>
      </c>
      <c r="C9" s="6">
        <f>COUNTIFS(Mapping!F2:F94,A9,Mapping!D2:D94,"Yes")</f>
        <v/>
      </c>
    </row>
    <row r="10">
      <c r="A10" s="6" t="inlineStr">
        <is>
          <t>Detect</t>
        </is>
      </c>
      <c r="B10" s="6">
        <f>COUNTIF(Mapping!F2:F94,A10)</f>
        <v/>
      </c>
      <c r="C10" s="6">
        <f>COUNTIFS(Mapping!F2:F94,A10,Mapping!D2:D94,"Yes")</f>
        <v/>
      </c>
    </row>
    <row r="11">
      <c r="A11" s="6" t="inlineStr">
        <is>
          <t>Respond</t>
        </is>
      </c>
      <c r="B11" s="6">
        <f>COUNTIF(Mapping!F2:F94,A11)</f>
        <v/>
      </c>
      <c r="C11" s="6">
        <f>COUNTIFS(Mapping!F2:F94,A11,Mapping!D2:D94,"Yes")</f>
        <v/>
      </c>
    </row>
    <row r="12">
      <c r="A12" s="6" t="inlineStr">
        <is>
          <t>Recover</t>
        </is>
      </c>
      <c r="B12" s="6">
        <f>COUNTIF(Mapping!F2:F94,A12)</f>
        <v/>
      </c>
      <c r="C12" s="6">
        <f>COUNTIFS(Mapping!F2:F94,A12,Mapping!D2:D94,"Yes")</f>
        <v/>
      </c>
    </row>
    <row r="13">
      <c r="A13" s="7" t="inlineStr">
        <is>
          <t>Total</t>
        </is>
      </c>
      <c r="B13" s="7">
        <f>SUM(B7:B12)</f>
        <v/>
      </c>
      <c r="C13" s="7">
        <f>SUM(C7:C12)</f>
        <v/>
      </c>
    </row>
    <row r="14">
      <c r="A14" s="6" t="n"/>
      <c r="B14" s="6" t="n"/>
      <c r="C14" s="6" t="n"/>
    </row>
    <row r="15">
      <c r="A15" s="7" t="inlineStr">
        <is>
          <t>DORA fit</t>
        </is>
      </c>
      <c r="B15" s="7" t="inlineStr">
        <is>
          <t>Controls</t>
        </is>
      </c>
      <c r="C15" s="7" t="inlineStr">
        <is>
          <t>Of which applicable</t>
        </is>
      </c>
    </row>
    <row r="16">
      <c r="A16" s="6" t="inlineStr">
        <is>
          <t>Direct</t>
        </is>
      </c>
      <c r="B16" s="6">
        <f>COUNTIF(Mapping!J2:J94,A16)</f>
        <v/>
      </c>
      <c r="C16" s="6">
        <f>COUNTIFS(Mapping!J2:J94,A16,Mapping!D2:D94,"Yes")</f>
        <v/>
      </c>
    </row>
    <row r="17">
      <c r="A17" s="6" t="inlineStr">
        <is>
          <t>Partial</t>
        </is>
      </c>
      <c r="B17" s="6">
        <f>COUNTIF(Mapping!J2:J94,A17)</f>
        <v/>
      </c>
      <c r="C17" s="6">
        <f>COUNTIFS(Mapping!J2:J94,A17,Mapping!D2:D94,"Yes")</f>
        <v/>
      </c>
    </row>
    <row r="18">
      <c r="A18" s="6" t="inlineStr">
        <is>
          <t>None</t>
        </is>
      </c>
      <c r="B18" s="6">
        <f>COUNTIF(Mapping!J2:J94,A18)</f>
        <v/>
      </c>
      <c r="C18" s="6">
        <f>COUNTIFS(Mapping!J2:J94,A18,Mapping!D2:D94,"Yes")</f>
        <v/>
      </c>
    </row>
    <row r="19">
      <c r="A19" s="7" t="inlineStr">
        <is>
          <t>Total</t>
        </is>
      </c>
      <c r="B19" s="7">
        <f>SUM(B16:B18)</f>
        <v/>
      </c>
      <c r="C19" s="7">
        <f>SUM(C16:C18)</f>
        <v/>
      </c>
    </row>
    <row r="20">
      <c r="A20" s="6" t="n"/>
      <c r="B20" s="6" t="n"/>
      <c r="C20" s="6" t="n"/>
    </row>
    <row r="21">
      <c r="A21" s="7" t="inlineStr">
        <is>
          <t>DORA topics with gaps</t>
        </is>
      </c>
      <c r="B21" s="7" t="inlineStr">
        <is>
          <t>Topics</t>
        </is>
      </c>
      <c r="C21" s="7" t="n"/>
    </row>
    <row r="22">
      <c r="A22" s="6" t="inlineStr">
        <is>
          <t>Not covered by the starter kit</t>
        </is>
      </c>
      <c r="B22" s="6">
        <f>COUNTIF('DORA gaps'!D2:D10,"Not covered")</f>
        <v/>
      </c>
      <c r="C22" s="6" t="n"/>
    </row>
    <row r="23">
      <c r="A23" s="6" t="inlineStr">
        <is>
          <t>Partly covered</t>
        </is>
      </c>
      <c r="B23" s="6">
        <f>COUNTIF('DORA gaps'!D2:D10,"Partly covered")</f>
        <v/>
      </c>
      <c r="C23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How to read this mapping</t>
        </is>
      </c>
    </row>
    <row r="2">
      <c r="A2" s="9" t="inlineStr"/>
    </row>
    <row r="3">
      <c r="A3" s="9" t="inlineStr">
        <is>
          <t>Purpose: show that the ISO 27001 ISMS in this repository can be read in the language of two other frameworks that fintech employers use: NIST Cybersecurity Framework 2.0 and the EU Digital Operational Resilience Act (DORA, Regulation (EU) 2022/2554).</t>
        </is>
      </c>
    </row>
    <row r="4">
      <c r="A4" s="9" t="inlineStr"/>
    </row>
    <row r="5">
      <c r="A5" s="9" t="inlineStr">
        <is>
          <t>Mapping sheet: each of the 93 Annex A controls has one main NIST CSF 2.0 category and the DORA article(s) it supports. Applicability and status come from the Statement of Applicability.</t>
        </is>
      </c>
    </row>
    <row r="6">
      <c r="A6" s="9" t="inlineStr">
        <is>
          <t>DORA fit: Direct = the topic is named in the article. Partial = covered indirectly by a general requirement to protect or run ICT systems. None = outside DORA (for example privacy, which GDPR covers).</t>
        </is>
      </c>
    </row>
    <row r="7">
      <c r="A7" s="9" t="inlineStr">
        <is>
          <t>DORA gaps sheet: topics where DORA asks for more than ISO 27001 controls give. These are next steps, not finished work.</t>
        </is>
      </c>
    </row>
    <row r="8">
      <c r="A8" s="9" t="inlineStr"/>
    </row>
    <row r="9">
      <c r="A9" s="9" t="inlineStr">
        <is>
          <t>Important limits:</t>
        </is>
      </c>
    </row>
    <row r="10">
      <c r="A10" s="9" t="inlineStr">
        <is>
          <t>1. DORA applies to financial entities and, through contracts, to their ICT providers. Havelmetrics sells to retail chains, so DORA would not apply directly. The mapping shows readiness for a bank or fintech customer.</t>
        </is>
      </c>
    </row>
    <row r="11">
      <c r="A11" s="9" t="inlineStr">
        <is>
          <t>2. This is my own indicative mapping, built from the standards' structure. It is not an official crosswalk and has not been reviewed by a regulator or auditor. Check article details and the technical standards (for example on incident reporting) against the legal text before relying on them.</t>
        </is>
      </c>
    </row>
    <row r="12">
      <c r="A12" s="9" t="inlineStr">
        <is>
          <t>3. DORA articles are cited at article level only, not paragraph level.</t>
        </is>
      </c>
    </row>
    <row r="13">
      <c r="A13" s="9" t="inlineStr">
        <is>
          <t>4. NIST CSF 2.0 categories are the six functions Govern, Identify, Protect, Detect, Respond and Recover with their categories (GV, ID, PR, DE, RS, RC).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2026-10-27T12:44:37Z</dcterms:created>
  <dcterms:modified xmlns:dcterms="http://purl.org/dc/terms/" xmlns:xsi="http://www.w3.org/2001/XMLSchema-instance" xsi:type="dcterms:W3CDTF">2026-10-27T12:44:37Z</dcterms:modified>
</cp:coreProperties>
</file>