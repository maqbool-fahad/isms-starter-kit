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idence" sheetId="1" state="visible" r:id="rId3"/>
    <sheet name="Summary" sheetId="2" state="visible" r:id="rId4"/>
    <sheet name="How to use" sheetId="3" state="visible" r:id="rId5"/>
  </sheets>
  <definedNames>
    <definedName function="false" hidden="true" localSheetId="0" name="_xlnm._FilterDatabase" vbProcedure="false">Evidence!$A$1:$M$36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<sst xmlns="http://schemas.openxmlformats.org/spreadsheetml/2006/main" count="461" uniqueCount="288">
  <si>
    <t xml:space="preserve">ID</t>
  </si>
  <si>
    <t xml:space="preserve">Type</t>
  </si>
  <si>
    <t xml:space="preserve">Reference</t>
  </si>
  <si>
    <t xml:space="preserve">Area</t>
  </si>
  <si>
    <t xml:space="preserve">What the auditor will ask</t>
  </si>
  <si>
    <t xml:space="preserve">Evidence to show</t>
  </si>
  <si>
    <t xml:space="preserve">Where it is kept</t>
  </si>
  <si>
    <t xml:space="preserve">Owner</t>
  </si>
  <si>
    <t xml:space="preserve">How often</t>
  </si>
  <si>
    <t xml:space="preserve">Evidence status</t>
  </si>
  <si>
    <t xml:space="preserve">Linked risks</t>
  </si>
  <si>
    <t xml:space="preserve">Ready by</t>
  </si>
  <si>
    <t xml:space="preserve">Notes</t>
  </si>
  <si>
    <t xml:space="preserve">E01</t>
  </si>
  <si>
    <t xml:space="preserve">ISO 27001 clause</t>
  </si>
  <si>
    <t xml:space="preserve">Clause 4.3</t>
  </si>
  <si>
    <t xml:space="preserve">ISMS scope</t>
  </si>
  <si>
    <t xml:space="preserve">What is inside and outside the ISMS, and why?</t>
  </si>
  <si>
    <t xml:space="preserve">isms-scope.md</t>
  </si>
  <si>
    <t xml:space="preserve">Repo: 01-scope-policy</t>
  </si>
  <si>
    <t xml:space="preserve">ISMS Manager</t>
  </si>
  <si>
    <t xml:space="preserve">On change, reviewed yearly</t>
  </si>
  <si>
    <t xml:space="preserve">In repo</t>
  </si>
  <si>
    <t xml:space="preserve">Done</t>
  </si>
  <si>
    <t xml:space="preserve">E02</t>
  </si>
  <si>
    <t xml:space="preserve">Clause 5.2</t>
  </si>
  <si>
    <t xml:space="preserve">Information security policy</t>
  </si>
  <si>
    <t xml:space="preserve">Is there an approved policy, and do staff know about it?</t>
  </si>
  <si>
    <t xml:space="preserve">information-security-policy.md signed by the CEO; staff acknowledgement at onboarding</t>
  </si>
  <si>
    <t xml:space="preserve">Repo: 01-scope-policy; HR folder</t>
  </si>
  <si>
    <t xml:space="preserve">Yearly</t>
  </si>
  <si>
    <t xml:space="preserve">Partly in place</t>
  </si>
  <si>
    <t xml:space="preserve">2027-01-17</t>
  </si>
  <si>
    <t xml:space="preserve">Policy approved. Staff acknowledgement list still missing.</t>
  </si>
  <si>
    <t xml:space="preserve">E03</t>
  </si>
  <si>
    <t xml:space="preserve">Clause 5.3</t>
  </si>
  <si>
    <t xml:space="preserve">Roles and responsibilities</t>
  </si>
  <si>
    <t xml:space="preserve">Who is the ISMS Manager, and who owns each risk?</t>
  </si>
  <si>
    <t xml:space="preserve">Role description signed by the CEO; risk owners named in the register</t>
  </si>
  <si>
    <t xml:space="preserve">Repo: 02-risk; HR folder</t>
  </si>
  <si>
    <t xml:space="preserve">CEO</t>
  </si>
  <si>
    <t xml:space="preserve">On change</t>
  </si>
  <si>
    <t xml:space="preserve">Owners are named in the register. Signed role description missing.</t>
  </si>
  <si>
    <t xml:space="preserve">E04</t>
  </si>
  <si>
    <t xml:space="preserve">Clause 6.1.2</t>
  </si>
  <si>
    <t xml:space="preserve">Risk assessment method</t>
  </si>
  <si>
    <t xml:space="preserve">How do you identify and rate risks?</t>
  </si>
  <si>
    <t xml:space="preserve">risk-assessment-method.md (5x5 scale, thresholds, due dates)</t>
  </si>
  <si>
    <t xml:space="preserve">Repo: 02-risk</t>
  </si>
  <si>
    <t xml:space="preserve">E05</t>
  </si>
  <si>
    <t xml:space="preserve">Risk assessment results</t>
  </si>
  <si>
    <t xml:space="preserve">Show the results and when they were last reviewed.</t>
  </si>
  <si>
    <t xml:space="preserve">risk-register.xlsx (30 risks); yearly review record</t>
  </si>
  <si>
    <t xml:space="preserve">Add a dated review note at each yearly review.</t>
  </si>
  <si>
    <t xml:space="preserve">E06</t>
  </si>
  <si>
    <t xml:space="preserve">Clause 6.1.3</t>
  </si>
  <si>
    <t xml:space="preserve">Risk treatment plan</t>
  </si>
  <si>
    <t xml:space="preserve">What will you do about each risk, who owns it, and by when?</t>
  </si>
  <si>
    <t xml:space="preserve">Treatment, planned control, owner and due date columns in the risk register</t>
  </si>
  <si>
    <t xml:space="preserve">Quarterly progress check</t>
  </si>
  <si>
    <t xml:space="preserve">E07</t>
  </si>
  <si>
    <t xml:space="preserve">Statement of Applicability</t>
  </si>
  <si>
    <t xml:space="preserve">Which controls apply, and why are others excluded?</t>
  </si>
  <si>
    <t xml:space="preserve">statement-of-applicability.xlsx (93 controls with reasons)</t>
  </si>
  <si>
    <t xml:space="preserve">Repo: 03-controls</t>
  </si>
  <si>
    <t xml:space="preserve">E08</t>
  </si>
  <si>
    <t xml:space="preserve">Clause 6.2</t>
  </si>
  <si>
    <t xml:space="preserve">Security objectives</t>
  </si>
  <si>
    <t xml:space="preserve">What are your objectives, and how do you track them?</t>
  </si>
  <si>
    <t xml:space="preserve">Objectives in the policy; quarterly progress note per objective</t>
  </si>
  <si>
    <t xml:space="preserve">Repo: 01-scope-policy; SharePoint</t>
  </si>
  <si>
    <t xml:space="preserve">Quarterly</t>
  </si>
  <si>
    <t xml:space="preserve">2027-01-31</t>
  </si>
  <si>
    <t xml:space="preserve">Objectives exist. Progress tracking starts with the first quarterly report.</t>
  </si>
  <si>
    <t xml:space="preserve">E09</t>
  </si>
  <si>
    <t xml:space="preserve">Clause 7.2</t>
  </si>
  <si>
    <t xml:space="preserve">Competence</t>
  </si>
  <si>
    <t xml:space="preserve">Is the ISMS Manager trained for the role?</t>
  </si>
  <si>
    <t xml:space="preserve">Training or certificate records for the ISMS Manager</t>
  </si>
  <si>
    <t xml:space="preserve">HR folder</t>
  </si>
  <si>
    <t xml:space="preserve">To create</t>
  </si>
  <si>
    <t xml:space="preserve">2027-04-19</t>
  </si>
  <si>
    <t xml:space="preserve">Needs training or an ISO 27001 course for the part-time IT administrator.</t>
  </si>
  <si>
    <t xml:space="preserve">E10</t>
  </si>
  <si>
    <t xml:space="preserve">Clause 7.5</t>
  </si>
  <si>
    <t xml:space="preserve">Document control</t>
  </si>
  <si>
    <t xml:space="preserve">How are documents versioned, approved and kept current?</t>
  </si>
  <si>
    <t xml:space="preserve">Version numbers, approval lines and Git history; list of ISMS documents</t>
  </si>
  <si>
    <t xml:space="preserve">Repo (Git history)</t>
  </si>
  <si>
    <t xml:space="preserve">Git history exists. Add a document list to the README.</t>
  </si>
  <si>
    <t xml:space="preserve">E11</t>
  </si>
  <si>
    <t xml:space="preserve">Clause 9.1</t>
  </si>
  <si>
    <t xml:space="preserve">Monitoring and measurement</t>
  </si>
  <si>
    <t xml:space="preserve">How do you know the ISMS works?</t>
  </si>
  <si>
    <t xml:space="preserve">Quarterly report: open risks by level, MFA coverage, training completion, patch compliance, incidents</t>
  </si>
  <si>
    <t xml:space="preserve">SharePoint: ISMS reports</t>
  </si>
  <si>
    <t xml:space="preserve">E12</t>
  </si>
  <si>
    <t xml:space="preserve">Clause 9.2</t>
  </si>
  <si>
    <t xml:space="preserve">Internal audit</t>
  </si>
  <si>
    <t xml:space="preserve">Show the audit programme and the last internal audit report.</t>
  </si>
  <si>
    <t xml:space="preserve">Audit plan, report with findings, follow-up actions</t>
  </si>
  <si>
    <t xml:space="preserve">SharePoint: ISMS audit</t>
  </si>
  <si>
    <t xml:space="preserve">Yearly, before certification</t>
  </si>
  <si>
    <t xml:space="preserve">2027-06-30</t>
  </si>
  <si>
    <t xml:space="preserve">Independent person needed. Consider an external consultant.</t>
  </si>
  <si>
    <t xml:space="preserve">E13</t>
  </si>
  <si>
    <t xml:space="preserve">Clause 9.3</t>
  </si>
  <si>
    <t xml:space="preserve">Management review</t>
  </si>
  <si>
    <t xml:space="preserve">Show the minutes of the last management review.</t>
  </si>
  <si>
    <t xml:space="preserve">Minutes with inputs (risks, incidents, audit results) and decisions</t>
  </si>
  <si>
    <t xml:space="preserve">2027-07-31</t>
  </si>
  <si>
    <t xml:space="preserve">E14</t>
  </si>
  <si>
    <t xml:space="preserve">Clause 10.2</t>
  </si>
  <si>
    <t xml:space="preserve">Nonconformities and corrective action</t>
  </si>
  <si>
    <t xml:space="preserve">How do you record and fix problems?</t>
  </si>
  <si>
    <t xml:space="preserve">Log of findings, causes, actions, owners and closure dates</t>
  </si>
  <si>
    <t xml:space="preserve">Ongoing</t>
  </si>
  <si>
    <t xml:space="preserve">E15</t>
  </si>
  <si>
    <t xml:space="preserve">Annex A control</t>
  </si>
  <si>
    <t xml:space="preserve">5.15; 5.18</t>
  </si>
  <si>
    <t xml:space="preserve">Access reviews</t>
  </si>
  <si>
    <t xml:space="preserve">Show the last quarterly access review for Azure, GitHub and the database.</t>
  </si>
  <si>
    <t xml:space="preserve">Signed review sheet: accounts, roles, changes made, reviewer, date</t>
  </si>
  <si>
    <t xml:space="preserve">SharePoint: ISMS evidence</t>
  </si>
  <si>
    <t xml:space="preserve">Head of Engineering</t>
  </si>
  <si>
    <t xml:space="preserve">R02, R07, R13, R26</t>
  </si>
  <si>
    <t xml:space="preserve">2026-11-18</t>
  </si>
  <si>
    <t xml:space="preserve">E16</t>
  </si>
  <si>
    <t xml:space="preserve">5.16; 6.5</t>
  </si>
  <si>
    <t xml:space="preserve">Joiner, mover, leaver</t>
  </si>
  <si>
    <t xml:space="preserve">Show the checklists for the last three leavers.</t>
  </si>
  <si>
    <t xml:space="preserve">Completed leaver checklists with dates; Entra ID audit log showing the account disabled</t>
  </si>
  <si>
    <t xml:space="preserve">HR folder; Entra ID</t>
  </si>
  <si>
    <t xml:space="preserve">Head of Operations</t>
  </si>
  <si>
    <t xml:space="preserve">Per leaver</t>
  </si>
  <si>
    <t xml:space="preserve">R07, R13</t>
  </si>
  <si>
    <t xml:space="preserve">Checklist must also cover GitHub, Azure and the support tool (R13).</t>
  </si>
  <si>
    <t xml:space="preserve">E17</t>
  </si>
  <si>
    <t xml:space="preserve">8.5</t>
  </si>
  <si>
    <t xml:space="preserve">Multi-factor authentication</t>
  </si>
  <si>
    <t xml:space="preserve">How many accounts use MFA, and can any account skip it?</t>
  </si>
  <si>
    <t xml:space="preserve">Entra ID authentication methods report; Conditional Access policy screenshot</t>
  </si>
  <si>
    <t xml:space="preserve">Entra ID</t>
  </si>
  <si>
    <t xml:space="preserve">IT Administrator</t>
  </si>
  <si>
    <t xml:space="preserve">Monthly</t>
  </si>
  <si>
    <t xml:space="preserve">R01, R02, R12, R17</t>
  </si>
  <si>
    <t xml:space="preserve">MFA is on email for some staff only today.</t>
  </si>
  <si>
    <t xml:space="preserve">E18</t>
  </si>
  <si>
    <t xml:space="preserve">8.2; 5.3</t>
  </si>
  <si>
    <t xml:space="preserve">Privileged access</t>
  </si>
  <si>
    <t xml:space="preserve">Who are the administrators, and how do they sign in?</t>
  </si>
  <si>
    <t xml:space="preserve">Admin role list; passkey or security key registration; break-glass account test record</t>
  </si>
  <si>
    <t xml:space="preserve">Entra ID; Azure</t>
  </si>
  <si>
    <t xml:space="preserve">R02, R10, R30</t>
  </si>
  <si>
    <t xml:space="preserve">Also covers R10, the single point of failure.</t>
  </si>
  <si>
    <t xml:space="preserve">E19</t>
  </si>
  <si>
    <t xml:space="preserve">5.17</t>
  </si>
  <si>
    <t xml:space="preserve">Passwords</t>
  </si>
  <si>
    <t xml:space="preserve">How are passwords managed?</t>
  </si>
  <si>
    <t xml:space="preserve">Password manager rollout record; Entra ID password policy settings</t>
  </si>
  <si>
    <t xml:space="preserve">Password manager; Entra ID</t>
  </si>
  <si>
    <t xml:space="preserve">R01, R17</t>
  </si>
  <si>
    <t xml:space="preserve">E20</t>
  </si>
  <si>
    <t xml:space="preserve">8.3; 8.20</t>
  </si>
  <si>
    <t xml:space="preserve">Database access</t>
  </si>
  <si>
    <t xml:space="preserve">Who can reach customer data, and from where?</t>
  </si>
  <si>
    <t xml:space="preserve">Azure SQL network settings (private endpoints), role assignments, quarterly configuration review</t>
  </si>
  <si>
    <t xml:space="preserve">Azure</t>
  </si>
  <si>
    <t xml:space="preserve">R03, R20, R26, R30</t>
  </si>
  <si>
    <t xml:space="preserve">E21</t>
  </si>
  <si>
    <t xml:space="preserve">8.4; 8.28</t>
  </si>
  <si>
    <t xml:space="preserve">Source code protection</t>
  </si>
  <si>
    <t xml:space="preserve">How do you stop secrets and unreviewed code reaching production?</t>
  </si>
  <si>
    <t xml:space="preserve">GitHub settings: branch protection, required review, secret scanning, push protection, SSO and MFA</t>
  </si>
  <si>
    <t xml:space="preserve">GitHub</t>
  </si>
  <si>
    <t xml:space="preserve">R11, R12, R29</t>
  </si>
  <si>
    <t xml:space="preserve">E22</t>
  </si>
  <si>
    <t xml:space="preserve">6.3</t>
  </si>
  <si>
    <t xml:space="preserve">Security awareness training</t>
  </si>
  <si>
    <t xml:space="preserve">Show who was trained and how phishing tests went.</t>
  </si>
  <si>
    <t xml:space="preserve">Attendance list; phishing simulation results; onboarding checklist</t>
  </si>
  <si>
    <t xml:space="preserve">R01, R19, R21</t>
  </si>
  <si>
    <t xml:space="preserve">Training is the main fix for the top risk, phishing.</t>
  </si>
  <si>
    <t xml:space="preserve">E23</t>
  </si>
  <si>
    <t xml:space="preserve">6.8; 5.24</t>
  </si>
  <si>
    <t xml:space="preserve">Incident reporting</t>
  </si>
  <si>
    <t xml:space="preserve">How do staff report incidents, and show the incident log.</t>
  </si>
  <si>
    <t xml:space="preserve">Reporting channel and mailbox; incident log (or a statement that none occurred)</t>
  </si>
  <si>
    <t xml:space="preserve">Teams; SharePoint</t>
  </si>
  <si>
    <t xml:space="preserve">R19, R23, R24</t>
  </si>
  <si>
    <t xml:space="preserve">E24</t>
  </si>
  <si>
    <t xml:space="preserve">5.25; 5.26; 5.27</t>
  </si>
  <si>
    <t xml:space="preserve">Incident exercise</t>
  </si>
  <si>
    <t xml:space="preserve">Have you practised the response?</t>
  </si>
  <si>
    <t xml:space="preserve">Tabletop exercise report with actions and owners</t>
  </si>
  <si>
    <t xml:space="preserve">R23</t>
  </si>
  <si>
    <t xml:space="preserve">First exercise by 17 January 2027 (see the incident response policy).</t>
  </si>
  <si>
    <t xml:space="preserve">E25</t>
  </si>
  <si>
    <t xml:space="preserve">8.15; 8.16</t>
  </si>
  <si>
    <t xml:space="preserve">Logging and alerts</t>
  </si>
  <si>
    <t xml:space="preserve">What is logged, for how long, and who looks at alerts?</t>
  </si>
  <si>
    <t xml:space="preserve">Defender for Cloud settings; log retention configuration; a sample alert and response</t>
  </si>
  <si>
    <t xml:space="preserve">R14, R30</t>
  </si>
  <si>
    <t xml:space="preserve">Only basic Azure activity logs today.</t>
  </si>
  <si>
    <t xml:space="preserve">E26</t>
  </si>
  <si>
    <t xml:space="preserve">8.13; 5.30</t>
  </si>
  <si>
    <t xml:space="preserve">Backup and restore</t>
  </si>
  <si>
    <t xml:space="preserve">Have you tested that you can restore?</t>
  </si>
  <si>
    <t xml:space="preserve">Restore test report with time taken against the recovery targets</t>
  </si>
  <si>
    <t xml:space="preserve">Azure; SharePoint</t>
  </si>
  <si>
    <t xml:space="preserve">R08, R16, R30</t>
  </si>
  <si>
    <t xml:space="preserve">E27</t>
  </si>
  <si>
    <t xml:space="preserve">8.8; 8.7</t>
  </si>
  <si>
    <t xml:space="preserve">Patching and malware protection</t>
  </si>
  <si>
    <t xml:space="preserve">How quickly are critical updates installed, and is protection active?</t>
  </si>
  <si>
    <t xml:space="preserve">Patch compliance report (14-day target); Defender coverage report</t>
  </si>
  <si>
    <t xml:space="preserve">Device management</t>
  </si>
  <si>
    <t xml:space="preserve">R04, R29, R30</t>
  </si>
  <si>
    <t xml:space="preserve">E28</t>
  </si>
  <si>
    <t xml:space="preserve">8.1; 8.24</t>
  </si>
  <si>
    <t xml:space="preserve">Devices and encryption</t>
  </si>
  <si>
    <t xml:space="preserve">Are laptops encrypted and phones protected?</t>
  </si>
  <si>
    <t xml:space="preserve">Device compliance report: disk encryption, screen lock; app protection policy for work email on phones</t>
  </si>
  <si>
    <t xml:space="preserve">Intune or device management</t>
  </si>
  <si>
    <t xml:space="preserve">R04, R05, R06, R20, R27</t>
  </si>
  <si>
    <t xml:space="preserve">Also covers R05, lost or stolen laptops.</t>
  </si>
  <si>
    <t xml:space="preserve">E29</t>
  </si>
  <si>
    <t xml:space="preserve">5.19; 5.22</t>
  </si>
  <si>
    <t xml:space="preserve">Suppliers</t>
  </si>
  <si>
    <t xml:space="preserve">Show the supplier register and the checks on key suppliers.</t>
  </si>
  <si>
    <t xml:space="preserve">Supplier register; security reviews for the payment, support and backup suppliers; data processing agreements</t>
  </si>
  <si>
    <t xml:space="preserve">R09</t>
  </si>
  <si>
    <t xml:space="preserve">E30</t>
  </si>
  <si>
    <t xml:space="preserve">5.34; 5.31</t>
  </si>
  <si>
    <t xml:space="preserve">GDPR records</t>
  </si>
  <si>
    <t xml:space="preserve">Show your record of processing and how requests are handled.</t>
  </si>
  <si>
    <t xml:space="preserve">Record of processing activities; data subject request log with 30-day tracking; data processing agreements</t>
  </si>
  <si>
    <t xml:space="preserve">SharePoint: privacy</t>
  </si>
  <si>
    <t xml:space="preserve">R03, R22, R23, R24, R25, R26</t>
  </si>
  <si>
    <t xml:space="preserve">E31</t>
  </si>
  <si>
    <t xml:space="preserve">5.31</t>
  </si>
  <si>
    <t xml:space="preserve">NIS2 applicability</t>
  </si>
  <si>
    <t xml:space="preserve">Does NIS2 apply to you, and how did you decide?</t>
  </si>
  <si>
    <t xml:space="preserve">Written applicability assessment with the conclusion and date</t>
  </si>
  <si>
    <t xml:space="preserve">R22, R23, R24, R25</t>
  </si>
  <si>
    <t xml:space="preserve">E32</t>
  </si>
  <si>
    <t xml:space="preserve">5.9</t>
  </si>
  <si>
    <t xml:space="preserve">Asset inventory</t>
  </si>
  <si>
    <t xml:space="preserve">Show the list of your information assets.</t>
  </si>
  <si>
    <t xml:space="preserve">Inventory of systems, data and devices with owners</t>
  </si>
  <si>
    <t xml:space="preserve">Assets are in the risk register only today.</t>
  </si>
  <si>
    <t xml:space="preserve">E33</t>
  </si>
  <si>
    <t xml:space="preserve">5.10; 6.7</t>
  </si>
  <si>
    <t xml:space="preserve">Acceptable use and remote working</t>
  </si>
  <si>
    <t xml:space="preserve">What rules do staff follow, and did they accept them?</t>
  </si>
  <si>
    <t xml:space="preserve">Published rules; staff acknowledgement list</t>
  </si>
  <si>
    <t xml:space="preserve">SharePoint; HR folder</t>
  </si>
  <si>
    <t xml:space="preserve">R06, R18, R20, R21</t>
  </si>
  <si>
    <t xml:space="preserve">E34</t>
  </si>
  <si>
    <t xml:space="preserve">6.2</t>
  </si>
  <si>
    <t xml:space="preserve">Employment terms</t>
  </si>
  <si>
    <t xml:space="preserve">Do contracts state security duties?</t>
  </si>
  <si>
    <t xml:space="preserve">Contract template with confidentiality and security clauses</t>
  </si>
  <si>
    <t xml:space="preserve">Contracts exist. Security duties are not yet explicit.</t>
  </si>
  <si>
    <t xml:space="preserve">E35</t>
  </si>
  <si>
    <t xml:space="preserve">7.2</t>
  </si>
  <si>
    <t xml:space="preserve">Office access</t>
  </si>
  <si>
    <t xml:space="preserve">Who can enter the office, and how are visitors recorded?</t>
  </si>
  <si>
    <t xml:space="preserve">Visitor sign-in sheet; key list; quarterly review</t>
  </si>
  <si>
    <t xml:space="preserve">Office</t>
  </si>
  <si>
    <t xml:space="preserve">R28</t>
  </si>
  <si>
    <t xml:space="preserve">2027-01-19</t>
  </si>
  <si>
    <t xml:space="preserve">Count</t>
  </si>
  <si>
    <t xml:space="preserve">Total</t>
  </si>
  <si>
    <t xml:space="preserve">Evidence status by owner</t>
  </si>
  <si>
    <t xml:space="preserve">Audit evidence checklist: Havelmetrics GmbH</t>
  </si>
  <si>
    <t xml:space="preserve">What this is: a list of the proof an ISO 27001 auditor would ask to see, so the company can be ready before the audit.</t>
  </si>
  <si>
    <t xml:space="preserve">Each row has a question the auditor will ask, the evidence that answers it, where it is kept, who owns it, and when it should be ready.</t>
  </si>
  <si>
    <t xml:space="preserve">Evidence status:</t>
  </si>
  <si>
    <t xml:space="preserve">In repo: the document already exists in this project.</t>
  </si>
  <si>
    <t xml:space="preserve">Partly in place: something exists, but the proof is incomplete.</t>
  </si>
  <si>
    <t xml:space="preserve">To create: the evidence will only exist once the control is running. Records such as reviews, test reports and logs are produced on a schedule.</t>
  </si>
  <si>
    <t xml:space="preserve">How the rows connect to the rest of the project:</t>
  </si>
  <si>
    <t xml:space="preserve">Annex A control rows use the control numbers from the Statement of Applicability (03-controls). Linked risks come from the same file.</t>
  </si>
  <si>
    <t xml:space="preserve">Ready by dates for control rows are the due dates of the main risk in the risk register (02-risk). Clause rows use dates set for the first certification audit.</t>
  </si>
  <si>
    <t xml:space="preserve">The policies in 04-policies set the rules. This checklist lists the records that show the rules are followed.</t>
  </si>
  <si>
    <t xml:space="preserve">Suggested evidence folder (SharePoint): ISMS evidence / year / area (for example 2027 / access reviews / Q1 review).</t>
  </si>
  <si>
    <t xml:space="preserve">Keep one file per record, named with the date, and never delete old records.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</si>
</sst>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E8C8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>
          <bgColor rgb="FFCDE8C8"/>
        </patternFill>
      </fill>
    </dxf>
    <dxf>
      <fill>
        <patternFill>
          <bgColor rgb="FFFFF2B3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8C8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28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 t="s">
        <v>22</v>
      </c>
      <c r="K2" s="3"/>
      <c r="L2" s="2" t="s">
        <v>23</v>
      </c>
      <c r="M2" s="3"/>
    </row>
    <row r="3" customFormat="false" ht="23.85" hidden="false" customHeight="false" outlineLevel="0" collapsed="false">
      <c r="A3" s="2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20</v>
      </c>
      <c r="I3" s="3" t="s">
        <v>30</v>
      </c>
      <c r="J3" s="2" t="s">
        <v>31</v>
      </c>
      <c r="K3" s="3"/>
      <c r="L3" s="2" t="s">
        <v>32</v>
      </c>
      <c r="M3" s="3" t="s">
        <v>33</v>
      </c>
    </row>
    <row r="4" customFormat="false" ht="23.85" hidden="false" customHeight="false" outlineLevel="0" collapsed="false">
      <c r="A4" s="2" t="s">
        <v>34</v>
      </c>
      <c r="B4" s="3" t="s">
        <v>14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2" t="s">
        <v>31</v>
      </c>
      <c r="K4" s="3"/>
      <c r="L4" s="2" t="s">
        <v>32</v>
      </c>
      <c r="M4" s="3" t="s">
        <v>42</v>
      </c>
    </row>
    <row r="5" customFormat="false" ht="15" hidden="false" customHeight="false" outlineLevel="0" collapsed="false">
      <c r="A5" s="2" t="s">
        <v>43</v>
      </c>
      <c r="B5" s="3" t="s">
        <v>14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20</v>
      </c>
      <c r="I5" s="3" t="s">
        <v>30</v>
      </c>
      <c r="J5" s="2" t="s">
        <v>22</v>
      </c>
      <c r="K5" s="3"/>
      <c r="L5" s="2" t="s">
        <v>23</v>
      </c>
      <c r="M5" s="3"/>
    </row>
    <row r="6" customFormat="false" ht="15" hidden="false" customHeight="false" outlineLevel="0" collapsed="false">
      <c r="A6" s="2" t="s">
        <v>49</v>
      </c>
      <c r="B6" s="3" t="s">
        <v>14</v>
      </c>
      <c r="C6" s="3" t="s">
        <v>44</v>
      </c>
      <c r="D6" s="3" t="s">
        <v>50</v>
      </c>
      <c r="E6" s="3" t="s">
        <v>51</v>
      </c>
      <c r="F6" s="3" t="s">
        <v>52</v>
      </c>
      <c r="G6" s="3" t="s">
        <v>48</v>
      </c>
      <c r="H6" s="3" t="s">
        <v>20</v>
      </c>
      <c r="I6" s="3" t="s">
        <v>30</v>
      </c>
      <c r="J6" s="2" t="s">
        <v>22</v>
      </c>
      <c r="K6" s="3"/>
      <c r="L6" s="2" t="s">
        <v>23</v>
      </c>
      <c r="M6" s="3" t="s">
        <v>53</v>
      </c>
    </row>
    <row r="7" customFormat="false" ht="23.85" hidden="false" customHeight="false" outlineLevel="0" collapsed="false">
      <c r="A7" s="2" t="s">
        <v>54</v>
      </c>
      <c r="B7" s="3" t="s">
        <v>14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48</v>
      </c>
      <c r="H7" s="3" t="s">
        <v>20</v>
      </c>
      <c r="I7" s="3" t="s">
        <v>59</v>
      </c>
      <c r="J7" s="2" t="s">
        <v>22</v>
      </c>
      <c r="K7" s="3"/>
      <c r="L7" s="2" t="s">
        <v>23</v>
      </c>
      <c r="M7" s="3"/>
    </row>
    <row r="8" customFormat="false" ht="15" hidden="false" customHeight="false" outlineLevel="0" collapsed="false">
      <c r="A8" s="2" t="s">
        <v>60</v>
      </c>
      <c r="B8" s="3" t="s">
        <v>14</v>
      </c>
      <c r="C8" s="3" t="s">
        <v>55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20</v>
      </c>
      <c r="I8" s="3" t="s">
        <v>30</v>
      </c>
      <c r="J8" s="2" t="s">
        <v>22</v>
      </c>
      <c r="K8" s="3"/>
      <c r="L8" s="2" t="s">
        <v>23</v>
      </c>
      <c r="M8" s="3"/>
    </row>
    <row r="9" customFormat="false" ht="23.85" hidden="false" customHeight="false" outlineLevel="0" collapsed="false">
      <c r="A9" s="2" t="s">
        <v>65</v>
      </c>
      <c r="B9" s="3" t="s">
        <v>14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20</v>
      </c>
      <c r="I9" s="3" t="s">
        <v>71</v>
      </c>
      <c r="J9" s="2" t="s">
        <v>31</v>
      </c>
      <c r="K9" s="3"/>
      <c r="L9" s="2" t="s">
        <v>72</v>
      </c>
      <c r="M9" s="3" t="s">
        <v>73</v>
      </c>
    </row>
    <row r="10" customFormat="false" ht="23.85" hidden="false" customHeight="false" outlineLevel="0" collapsed="false">
      <c r="A10" s="2" t="s">
        <v>74</v>
      </c>
      <c r="B10" s="3" t="s">
        <v>14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40</v>
      </c>
      <c r="I10" s="3" t="s">
        <v>41</v>
      </c>
      <c r="J10" s="2" t="s">
        <v>80</v>
      </c>
      <c r="K10" s="3"/>
      <c r="L10" s="2" t="s">
        <v>81</v>
      </c>
      <c r="M10" s="3" t="s">
        <v>82</v>
      </c>
    </row>
    <row r="11" customFormat="false" ht="23.85" hidden="false" customHeight="false" outlineLevel="0" collapsed="false">
      <c r="A11" s="2" t="s">
        <v>83</v>
      </c>
      <c r="B11" s="3" t="s">
        <v>14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20</v>
      </c>
      <c r="I11" s="3" t="s">
        <v>41</v>
      </c>
      <c r="J11" s="2" t="s">
        <v>31</v>
      </c>
      <c r="K11" s="3"/>
      <c r="L11" s="2" t="s">
        <v>32</v>
      </c>
      <c r="M11" s="3" t="s">
        <v>89</v>
      </c>
    </row>
    <row r="12" customFormat="false" ht="23.85" hidden="false" customHeight="false" outlineLevel="0" collapsed="false">
      <c r="A12" s="2" t="s">
        <v>90</v>
      </c>
      <c r="B12" s="3" t="s">
        <v>14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20</v>
      </c>
      <c r="I12" s="3" t="s">
        <v>71</v>
      </c>
      <c r="J12" s="2" t="s">
        <v>80</v>
      </c>
      <c r="K12" s="3"/>
      <c r="L12" s="2" t="s">
        <v>72</v>
      </c>
      <c r="M12" s="3"/>
    </row>
    <row r="13" customFormat="false" ht="23.85" hidden="false" customHeight="false" outlineLevel="0" collapsed="false">
      <c r="A13" s="2" t="s">
        <v>96</v>
      </c>
      <c r="B13" s="3" t="s">
        <v>14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20</v>
      </c>
      <c r="I13" s="3" t="s">
        <v>102</v>
      </c>
      <c r="J13" s="2" t="s">
        <v>80</v>
      </c>
      <c r="K13" s="3"/>
      <c r="L13" s="2" t="s">
        <v>103</v>
      </c>
      <c r="M13" s="3" t="s">
        <v>104</v>
      </c>
    </row>
    <row r="14" customFormat="false" ht="15" hidden="false" customHeight="false" outlineLevel="0" collapsed="false">
      <c r="A14" s="2" t="s">
        <v>105</v>
      </c>
      <c r="B14" s="3" t="s">
        <v>14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95</v>
      </c>
      <c r="H14" s="3" t="s">
        <v>40</v>
      </c>
      <c r="I14" s="3" t="s">
        <v>30</v>
      </c>
      <c r="J14" s="2" t="s">
        <v>80</v>
      </c>
      <c r="K14" s="3"/>
      <c r="L14" s="2" t="s">
        <v>110</v>
      </c>
      <c r="M14" s="3"/>
    </row>
    <row r="15" customFormat="false" ht="23.85" hidden="false" customHeight="false" outlineLevel="0" collapsed="false">
      <c r="A15" s="2" t="s">
        <v>111</v>
      </c>
      <c r="B15" s="3" t="s">
        <v>14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95</v>
      </c>
      <c r="H15" s="3" t="s">
        <v>20</v>
      </c>
      <c r="I15" s="3" t="s">
        <v>116</v>
      </c>
      <c r="J15" s="2" t="s">
        <v>80</v>
      </c>
      <c r="K15" s="3"/>
      <c r="L15" s="2" t="s">
        <v>72</v>
      </c>
      <c r="M15" s="3"/>
    </row>
    <row r="16" customFormat="false" ht="23.85" hidden="false" customHeight="false" outlineLevel="0" collapsed="false">
      <c r="A16" s="2" t="s">
        <v>117</v>
      </c>
      <c r="B16" s="3" t="s">
        <v>118</v>
      </c>
      <c r="C16" s="3" t="s">
        <v>119</v>
      </c>
      <c r="D16" s="3" t="s">
        <v>120</v>
      </c>
      <c r="E16" s="3" t="s">
        <v>121</v>
      </c>
      <c r="F16" s="3" t="s">
        <v>122</v>
      </c>
      <c r="G16" s="3" t="s">
        <v>123</v>
      </c>
      <c r="H16" s="3" t="s">
        <v>124</v>
      </c>
      <c r="I16" s="3" t="s">
        <v>71</v>
      </c>
      <c r="J16" s="2" t="s">
        <v>80</v>
      </c>
      <c r="K16" s="3" t="s">
        <v>125</v>
      </c>
      <c r="L16" s="2" t="s">
        <v>126</v>
      </c>
      <c r="M16" s="3"/>
    </row>
    <row r="17" customFormat="false" ht="23.85" hidden="false" customHeight="false" outlineLevel="0" collapsed="false">
      <c r="A17" s="2" t="s">
        <v>127</v>
      </c>
      <c r="B17" s="3" t="s">
        <v>118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  <c r="J17" s="2" t="s">
        <v>80</v>
      </c>
      <c r="K17" s="3" t="s">
        <v>135</v>
      </c>
      <c r="L17" s="2" t="s">
        <v>32</v>
      </c>
      <c r="M17" s="3" t="s">
        <v>136</v>
      </c>
    </row>
    <row r="18" customFormat="false" ht="23.85" hidden="false" customHeight="false" outlineLevel="0" collapsed="false">
      <c r="A18" s="2" t="s">
        <v>137</v>
      </c>
      <c r="B18" s="3" t="s">
        <v>118</v>
      </c>
      <c r="C18" s="3" t="s">
        <v>138</v>
      </c>
      <c r="D18" s="3" t="s">
        <v>139</v>
      </c>
      <c r="E18" s="3" t="s">
        <v>140</v>
      </c>
      <c r="F18" s="3" t="s">
        <v>141</v>
      </c>
      <c r="G18" s="3" t="s">
        <v>142</v>
      </c>
      <c r="H18" s="3" t="s">
        <v>143</v>
      </c>
      <c r="I18" s="3" t="s">
        <v>144</v>
      </c>
      <c r="J18" s="2" t="s">
        <v>31</v>
      </c>
      <c r="K18" s="3" t="s">
        <v>145</v>
      </c>
      <c r="L18" s="2" t="s">
        <v>126</v>
      </c>
      <c r="M18" s="3" t="s">
        <v>146</v>
      </c>
    </row>
    <row r="19" customFormat="false" ht="23.85" hidden="false" customHeight="false" outlineLevel="0" collapsed="false">
      <c r="A19" s="2" t="s">
        <v>147</v>
      </c>
      <c r="B19" s="3" t="s">
        <v>118</v>
      </c>
      <c r="C19" s="3" t="s">
        <v>148</v>
      </c>
      <c r="D19" s="3" t="s">
        <v>149</v>
      </c>
      <c r="E19" s="3" t="s">
        <v>150</v>
      </c>
      <c r="F19" s="3" t="s">
        <v>151</v>
      </c>
      <c r="G19" s="3" t="s">
        <v>152</v>
      </c>
      <c r="H19" s="3" t="s">
        <v>124</v>
      </c>
      <c r="I19" s="3" t="s">
        <v>71</v>
      </c>
      <c r="J19" s="2" t="s">
        <v>80</v>
      </c>
      <c r="K19" s="3" t="s">
        <v>153</v>
      </c>
      <c r="L19" s="2" t="s">
        <v>126</v>
      </c>
      <c r="M19" s="3" t="s">
        <v>154</v>
      </c>
    </row>
    <row r="20" customFormat="false" ht="23.85" hidden="false" customHeight="false" outlineLevel="0" collapsed="false">
      <c r="A20" s="2" t="s">
        <v>155</v>
      </c>
      <c r="B20" s="3" t="s">
        <v>118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3" t="s">
        <v>143</v>
      </c>
      <c r="I20" s="3" t="s">
        <v>30</v>
      </c>
      <c r="J20" s="2" t="s">
        <v>31</v>
      </c>
      <c r="K20" s="3" t="s">
        <v>161</v>
      </c>
      <c r="L20" s="2" t="s">
        <v>32</v>
      </c>
      <c r="M20" s="3"/>
    </row>
    <row r="21" customFormat="false" ht="23.85" hidden="false" customHeight="false" outlineLevel="0" collapsed="false">
      <c r="A21" s="2" t="s">
        <v>162</v>
      </c>
      <c r="B21" s="3" t="s">
        <v>118</v>
      </c>
      <c r="C21" s="3" t="s">
        <v>163</v>
      </c>
      <c r="D21" s="3" t="s">
        <v>164</v>
      </c>
      <c r="E21" s="3" t="s">
        <v>165</v>
      </c>
      <c r="F21" s="3" t="s">
        <v>166</v>
      </c>
      <c r="G21" s="3" t="s">
        <v>167</v>
      </c>
      <c r="H21" s="3" t="s">
        <v>124</v>
      </c>
      <c r="I21" s="3" t="s">
        <v>71</v>
      </c>
      <c r="J21" s="2" t="s">
        <v>80</v>
      </c>
      <c r="K21" s="3" t="s">
        <v>168</v>
      </c>
      <c r="L21" s="2" t="s">
        <v>126</v>
      </c>
      <c r="M21" s="3"/>
    </row>
    <row r="22" customFormat="false" ht="23.85" hidden="false" customHeight="false" outlineLevel="0" collapsed="false">
      <c r="A22" s="2" t="s">
        <v>169</v>
      </c>
      <c r="B22" s="3" t="s">
        <v>118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174</v>
      </c>
      <c r="H22" s="3" t="s">
        <v>124</v>
      </c>
      <c r="I22" s="3" t="s">
        <v>71</v>
      </c>
      <c r="J22" s="2" t="s">
        <v>80</v>
      </c>
      <c r="K22" s="3" t="s">
        <v>175</v>
      </c>
      <c r="L22" s="2" t="s">
        <v>32</v>
      </c>
      <c r="M22" s="3"/>
    </row>
    <row r="23" customFormat="false" ht="23.85" hidden="false" customHeight="false" outlineLevel="0" collapsed="false">
      <c r="A23" s="2" t="s">
        <v>176</v>
      </c>
      <c r="B23" s="3" t="s">
        <v>118</v>
      </c>
      <c r="C23" s="3" t="s">
        <v>177</v>
      </c>
      <c r="D23" s="3" t="s">
        <v>178</v>
      </c>
      <c r="E23" s="3" t="s">
        <v>179</v>
      </c>
      <c r="F23" s="3" t="s">
        <v>180</v>
      </c>
      <c r="G23" s="3" t="s">
        <v>123</v>
      </c>
      <c r="H23" s="3" t="s">
        <v>20</v>
      </c>
      <c r="I23" s="3" t="s">
        <v>30</v>
      </c>
      <c r="J23" s="2" t="s">
        <v>80</v>
      </c>
      <c r="K23" s="3" t="s">
        <v>181</v>
      </c>
      <c r="L23" s="2" t="s">
        <v>126</v>
      </c>
      <c r="M23" s="3" t="s">
        <v>182</v>
      </c>
    </row>
    <row r="24" customFormat="false" ht="23.85" hidden="false" customHeight="false" outlineLevel="0" collapsed="false">
      <c r="A24" s="2" t="s">
        <v>183</v>
      </c>
      <c r="B24" s="3" t="s">
        <v>118</v>
      </c>
      <c r="C24" s="3" t="s">
        <v>184</v>
      </c>
      <c r="D24" s="3" t="s">
        <v>185</v>
      </c>
      <c r="E24" s="3" t="s">
        <v>186</v>
      </c>
      <c r="F24" s="3" t="s">
        <v>187</v>
      </c>
      <c r="G24" s="3" t="s">
        <v>188</v>
      </c>
      <c r="H24" s="3" t="s">
        <v>20</v>
      </c>
      <c r="I24" s="3" t="s">
        <v>116</v>
      </c>
      <c r="J24" s="2" t="s">
        <v>80</v>
      </c>
      <c r="K24" s="3" t="s">
        <v>189</v>
      </c>
      <c r="L24" s="2" t="s">
        <v>32</v>
      </c>
      <c r="M24" s="3"/>
    </row>
    <row r="25" customFormat="false" ht="23.85" hidden="false" customHeight="false" outlineLevel="0" collapsed="false">
      <c r="A25" s="2" t="s">
        <v>190</v>
      </c>
      <c r="B25" s="3" t="s">
        <v>118</v>
      </c>
      <c r="C25" s="3" t="s">
        <v>191</v>
      </c>
      <c r="D25" s="3" t="s">
        <v>192</v>
      </c>
      <c r="E25" s="3" t="s">
        <v>193</v>
      </c>
      <c r="F25" s="3" t="s">
        <v>194</v>
      </c>
      <c r="G25" s="3" t="s">
        <v>123</v>
      </c>
      <c r="H25" s="3" t="s">
        <v>20</v>
      </c>
      <c r="I25" s="3" t="s">
        <v>30</v>
      </c>
      <c r="J25" s="2" t="s">
        <v>80</v>
      </c>
      <c r="K25" s="3" t="s">
        <v>195</v>
      </c>
      <c r="L25" s="2" t="s">
        <v>32</v>
      </c>
      <c r="M25" s="3" t="s">
        <v>196</v>
      </c>
    </row>
    <row r="26" customFormat="false" ht="23.85" hidden="false" customHeight="false" outlineLevel="0" collapsed="false">
      <c r="A26" s="2" t="s">
        <v>197</v>
      </c>
      <c r="B26" s="3" t="s">
        <v>118</v>
      </c>
      <c r="C26" s="3" t="s">
        <v>198</v>
      </c>
      <c r="D26" s="3" t="s">
        <v>199</v>
      </c>
      <c r="E26" s="3" t="s">
        <v>200</v>
      </c>
      <c r="F26" s="3" t="s">
        <v>201</v>
      </c>
      <c r="G26" s="3" t="s">
        <v>167</v>
      </c>
      <c r="H26" s="3" t="s">
        <v>124</v>
      </c>
      <c r="I26" s="3" t="s">
        <v>71</v>
      </c>
      <c r="J26" s="2" t="s">
        <v>31</v>
      </c>
      <c r="K26" s="3" t="s">
        <v>202</v>
      </c>
      <c r="L26" s="2" t="s">
        <v>32</v>
      </c>
      <c r="M26" s="3" t="s">
        <v>203</v>
      </c>
    </row>
    <row r="27" customFormat="false" ht="15" hidden="false" customHeight="false" outlineLevel="0" collapsed="false">
      <c r="A27" s="2" t="s">
        <v>204</v>
      </c>
      <c r="B27" s="3" t="s">
        <v>118</v>
      </c>
      <c r="C27" s="3" t="s">
        <v>205</v>
      </c>
      <c r="D27" s="3" t="s">
        <v>206</v>
      </c>
      <c r="E27" s="3" t="s">
        <v>207</v>
      </c>
      <c r="F27" s="3" t="s">
        <v>208</v>
      </c>
      <c r="G27" s="3" t="s">
        <v>209</v>
      </c>
      <c r="H27" s="3" t="s">
        <v>124</v>
      </c>
      <c r="I27" s="3" t="s">
        <v>71</v>
      </c>
      <c r="J27" s="2" t="s">
        <v>80</v>
      </c>
      <c r="K27" s="3" t="s">
        <v>210</v>
      </c>
      <c r="L27" s="2" t="s">
        <v>32</v>
      </c>
      <c r="M27" s="3"/>
    </row>
    <row r="28" customFormat="false" ht="23.85" hidden="false" customHeight="false" outlineLevel="0" collapsed="false">
      <c r="A28" s="2" t="s">
        <v>211</v>
      </c>
      <c r="B28" s="3" t="s">
        <v>118</v>
      </c>
      <c r="C28" s="3" t="s">
        <v>212</v>
      </c>
      <c r="D28" s="3" t="s">
        <v>213</v>
      </c>
      <c r="E28" s="3" t="s">
        <v>214</v>
      </c>
      <c r="F28" s="3" t="s">
        <v>215</v>
      </c>
      <c r="G28" s="3" t="s">
        <v>216</v>
      </c>
      <c r="H28" s="3" t="s">
        <v>143</v>
      </c>
      <c r="I28" s="3" t="s">
        <v>144</v>
      </c>
      <c r="J28" s="2" t="s">
        <v>31</v>
      </c>
      <c r="K28" s="3" t="s">
        <v>217</v>
      </c>
      <c r="L28" s="2" t="s">
        <v>32</v>
      </c>
      <c r="M28" s="3"/>
    </row>
    <row r="29" customFormat="false" ht="23.85" hidden="false" customHeight="false" outlineLevel="0" collapsed="false">
      <c r="A29" s="2" t="s">
        <v>218</v>
      </c>
      <c r="B29" s="3" t="s">
        <v>118</v>
      </c>
      <c r="C29" s="3" t="s">
        <v>219</v>
      </c>
      <c r="D29" s="3" t="s">
        <v>220</v>
      </c>
      <c r="E29" s="3" t="s">
        <v>221</v>
      </c>
      <c r="F29" s="3" t="s">
        <v>222</v>
      </c>
      <c r="G29" s="3" t="s">
        <v>223</v>
      </c>
      <c r="H29" s="3" t="s">
        <v>143</v>
      </c>
      <c r="I29" s="3" t="s">
        <v>71</v>
      </c>
      <c r="J29" s="2" t="s">
        <v>80</v>
      </c>
      <c r="K29" s="3" t="s">
        <v>224</v>
      </c>
      <c r="L29" s="2" t="s">
        <v>32</v>
      </c>
      <c r="M29" s="3" t="s">
        <v>225</v>
      </c>
    </row>
    <row r="30" customFormat="false" ht="23.85" hidden="false" customHeight="false" outlineLevel="0" collapsed="false">
      <c r="A30" s="2" t="s">
        <v>226</v>
      </c>
      <c r="B30" s="3" t="s">
        <v>118</v>
      </c>
      <c r="C30" s="3" t="s">
        <v>227</v>
      </c>
      <c r="D30" s="3" t="s">
        <v>228</v>
      </c>
      <c r="E30" s="3" t="s">
        <v>229</v>
      </c>
      <c r="F30" s="3" t="s">
        <v>230</v>
      </c>
      <c r="G30" s="3" t="s">
        <v>123</v>
      </c>
      <c r="H30" s="3" t="s">
        <v>20</v>
      </c>
      <c r="I30" s="3" t="s">
        <v>30</v>
      </c>
      <c r="J30" s="2" t="s">
        <v>80</v>
      </c>
      <c r="K30" s="3" t="s">
        <v>231</v>
      </c>
      <c r="L30" s="2" t="s">
        <v>81</v>
      </c>
      <c r="M30" s="3"/>
    </row>
    <row r="31" customFormat="false" ht="23.85" hidden="false" customHeight="false" outlineLevel="0" collapsed="false">
      <c r="A31" s="2" t="s">
        <v>232</v>
      </c>
      <c r="B31" s="3" t="s">
        <v>118</v>
      </c>
      <c r="C31" s="3" t="s">
        <v>233</v>
      </c>
      <c r="D31" s="3" t="s">
        <v>234</v>
      </c>
      <c r="E31" s="3" t="s">
        <v>235</v>
      </c>
      <c r="F31" s="3" t="s">
        <v>236</v>
      </c>
      <c r="G31" s="3" t="s">
        <v>237</v>
      </c>
      <c r="H31" s="3" t="s">
        <v>133</v>
      </c>
      <c r="I31" s="3" t="s">
        <v>116</v>
      </c>
      <c r="J31" s="2" t="s">
        <v>80</v>
      </c>
      <c r="K31" s="3" t="s">
        <v>238</v>
      </c>
      <c r="L31" s="2" t="s">
        <v>81</v>
      </c>
      <c r="M31" s="3"/>
    </row>
    <row r="32" customFormat="false" ht="15" hidden="false" customHeight="false" outlineLevel="0" collapsed="false">
      <c r="A32" s="2" t="s">
        <v>239</v>
      </c>
      <c r="B32" s="3" t="s">
        <v>118</v>
      </c>
      <c r="C32" s="3" t="s">
        <v>240</v>
      </c>
      <c r="D32" s="3" t="s">
        <v>241</v>
      </c>
      <c r="E32" s="3" t="s">
        <v>242</v>
      </c>
      <c r="F32" s="3" t="s">
        <v>243</v>
      </c>
      <c r="G32" s="3" t="s">
        <v>123</v>
      </c>
      <c r="H32" s="3" t="s">
        <v>20</v>
      </c>
      <c r="I32" s="3" t="s">
        <v>30</v>
      </c>
      <c r="J32" s="2" t="s">
        <v>80</v>
      </c>
      <c r="K32" s="3" t="s">
        <v>244</v>
      </c>
      <c r="L32" s="2" t="s">
        <v>32</v>
      </c>
      <c r="M32" s="3"/>
    </row>
    <row r="33" customFormat="false" ht="15" hidden="false" customHeight="false" outlineLevel="0" collapsed="false">
      <c r="A33" s="2" t="s">
        <v>245</v>
      </c>
      <c r="B33" s="3" t="s">
        <v>118</v>
      </c>
      <c r="C33" s="3" t="s">
        <v>246</v>
      </c>
      <c r="D33" s="3" t="s">
        <v>247</v>
      </c>
      <c r="E33" s="3" t="s">
        <v>248</v>
      </c>
      <c r="F33" s="3" t="s">
        <v>249</v>
      </c>
      <c r="G33" s="3" t="s">
        <v>123</v>
      </c>
      <c r="H33" s="3" t="s">
        <v>143</v>
      </c>
      <c r="I33" s="3" t="s">
        <v>30</v>
      </c>
      <c r="J33" s="2" t="s">
        <v>80</v>
      </c>
      <c r="K33" s="3"/>
      <c r="L33" s="2" t="s">
        <v>32</v>
      </c>
      <c r="M33" s="3" t="s">
        <v>250</v>
      </c>
    </row>
    <row r="34" customFormat="false" ht="23.85" hidden="false" customHeight="false" outlineLevel="0" collapsed="false">
      <c r="A34" s="2" t="s">
        <v>251</v>
      </c>
      <c r="B34" s="3" t="s">
        <v>118</v>
      </c>
      <c r="C34" s="3" t="s">
        <v>252</v>
      </c>
      <c r="D34" s="3" t="s">
        <v>253</v>
      </c>
      <c r="E34" s="3" t="s">
        <v>254</v>
      </c>
      <c r="F34" s="3" t="s">
        <v>255</v>
      </c>
      <c r="G34" s="3" t="s">
        <v>256</v>
      </c>
      <c r="H34" s="3" t="s">
        <v>20</v>
      </c>
      <c r="I34" s="3" t="s">
        <v>30</v>
      </c>
      <c r="J34" s="2" t="s">
        <v>80</v>
      </c>
      <c r="K34" s="3" t="s">
        <v>257</v>
      </c>
      <c r="L34" s="2" t="s">
        <v>81</v>
      </c>
      <c r="M34" s="3"/>
    </row>
    <row r="35" customFormat="false" ht="15" hidden="false" customHeight="false" outlineLevel="0" collapsed="false">
      <c r="A35" s="2" t="s">
        <v>258</v>
      </c>
      <c r="B35" s="3" t="s">
        <v>118</v>
      </c>
      <c r="C35" s="3" t="s">
        <v>259</v>
      </c>
      <c r="D35" s="3" t="s">
        <v>260</v>
      </c>
      <c r="E35" s="3" t="s">
        <v>261</v>
      </c>
      <c r="F35" s="3" t="s">
        <v>262</v>
      </c>
      <c r="G35" s="3" t="s">
        <v>79</v>
      </c>
      <c r="H35" s="3" t="s">
        <v>133</v>
      </c>
      <c r="I35" s="3" t="s">
        <v>41</v>
      </c>
      <c r="J35" s="2" t="s">
        <v>31</v>
      </c>
      <c r="K35" s="3"/>
      <c r="L35" s="2" t="s">
        <v>81</v>
      </c>
      <c r="M35" s="3" t="s">
        <v>263</v>
      </c>
    </row>
    <row r="36" customFormat="false" ht="23.85" hidden="false" customHeight="false" outlineLevel="0" collapsed="false">
      <c r="A36" s="2" t="s">
        <v>264</v>
      </c>
      <c r="B36" s="3" t="s">
        <v>118</v>
      </c>
      <c r="C36" s="3" t="s">
        <v>265</v>
      </c>
      <c r="D36" s="3" t="s">
        <v>266</v>
      </c>
      <c r="E36" s="3" t="s">
        <v>267</v>
      </c>
      <c r="F36" s="3" t="s">
        <v>268</v>
      </c>
      <c r="G36" s="3" t="s">
        <v>269</v>
      </c>
      <c r="H36" s="3" t="s">
        <v>133</v>
      </c>
      <c r="I36" s="3" t="s">
        <v>71</v>
      </c>
      <c r="J36" s="2" t="s">
        <v>80</v>
      </c>
      <c r="K36" s="3" t="s">
        <v>270</v>
      </c>
      <c r="L36" s="2" t="s">
        <v>271</v>
      </c>
      <c r="M36" s="3"/>
    </row>
  </sheetData>
  <autoFilter ref="A1:M36"/>
  <conditionalFormatting sqref="J2:J36">
    <cfRule type="expression" priority="2" aboveAverage="0" equalAverage="0" bottom="0" percent="0" rank="0" text="" dxfId="6">
      <formula>$J2="In repo"</formula>
    </cfRule>
    <cfRule type="expression" priority="3" aboveAverage="0" equalAverage="0" bottom="0" percent="0" rank="0" text="" dxfId="7">
      <formula>$J2="Partly in place"</formula>
    </cfRule>
    <cfRule type="expression" priority="4" aboveAverage="0" equalAverage="0" bottom="0" percent="0" rank="0" text="" dxfId="8">
      <formula>$J2="To create"</formula>
    </cfRule>
  </conditionalFormatting>
  <dataValidations count="1">
    <dataValidation allowBlank="false" errorStyle="stop" operator="between" showDropDown="false" showErrorMessage="false" showInputMessage="false" sqref="J2:J36" type="list">
      <formula1>"In repo,Partly in place,To create"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4" t="s">
        <v>9</v>
      </c>
      <c r="B1" s="4" t="s">
        <v>272</v>
      </c>
      <c r="C1" s="4"/>
      <c r="D1" s="4"/>
    </row>
    <row r="2" customFormat="false" ht="15" hidden="false" customHeight="false" outlineLevel="0" collapsed="false">
      <c r="A2" s="5" t="s">
        <v>22</v>
      </c>
      <c r="B2" s="5" t="n">
        <f aca="false">COUNTIF(Evidence!$J$2:$J$36,A2)</f>
        <v>5</v>
      </c>
      <c r="C2" s="5"/>
      <c r="D2" s="5"/>
    </row>
    <row r="3" customFormat="false" ht="15" hidden="false" customHeight="false" outlineLevel="0" collapsed="false">
      <c r="A3" s="5" t="s">
        <v>31</v>
      </c>
      <c r="B3" s="5" t="n">
        <f aca="false">COUNTIF(Evidence!$J$2:$J$36,A3)</f>
        <v>9</v>
      </c>
      <c r="C3" s="5"/>
      <c r="D3" s="5"/>
    </row>
    <row r="4" customFormat="false" ht="15" hidden="false" customHeight="false" outlineLevel="0" collapsed="false">
      <c r="A4" s="5" t="s">
        <v>80</v>
      </c>
      <c r="B4" s="5" t="n">
        <f aca="false">COUNTIF(Evidence!$J$2:$J$36,A4)</f>
        <v>21</v>
      </c>
      <c r="C4" s="5"/>
      <c r="D4" s="5"/>
    </row>
    <row r="5" customFormat="false" ht="15" hidden="false" customHeight="false" outlineLevel="0" collapsed="false">
      <c r="A5" s="6" t="s">
        <v>273</v>
      </c>
      <c r="B5" s="6" t="n">
        <f aca="false">SUM(B2:B4)</f>
        <v>35</v>
      </c>
      <c r="C5" s="5"/>
      <c r="D5" s="5"/>
    </row>
    <row r="6" customFormat="false" ht="15" hidden="false" customHeight="false" outlineLevel="0" collapsed="false">
      <c r="A6" s="5"/>
      <c r="B6" s="5"/>
      <c r="C6" s="5"/>
      <c r="D6" s="5"/>
    </row>
    <row r="7" customFormat="false" ht="15" hidden="false" customHeight="false" outlineLevel="0" collapsed="false">
      <c r="A7" s="4" t="s">
        <v>274</v>
      </c>
      <c r="B7" s="4" t="s">
        <v>22</v>
      </c>
      <c r="C7" s="4" t="s">
        <v>31</v>
      </c>
      <c r="D7" s="4" t="s">
        <v>80</v>
      </c>
    </row>
    <row r="8" customFormat="false" ht="15" hidden="false" customHeight="false" outlineLevel="0" collapsed="false">
      <c r="A8" s="5" t="s">
        <v>40</v>
      </c>
      <c r="B8" s="5" t="n">
        <f aca="false">COUNTIFS(Evidence!$H$2:$H$36,$A8,Evidence!$J$2:$J$36,B$7)</f>
        <v>0</v>
      </c>
      <c r="C8" s="5" t="n">
        <f aca="false">COUNTIFS(Evidence!$H$2:$H$36,$A8,Evidence!$J$2:$J$36,C$7)</f>
        <v>1</v>
      </c>
      <c r="D8" s="5" t="n">
        <f aca="false">COUNTIFS(Evidence!$H$2:$H$36,$A8,Evidence!$J$2:$J$36,D$7)</f>
        <v>2</v>
      </c>
    </row>
    <row r="9" customFormat="false" ht="15" hidden="false" customHeight="false" outlineLevel="0" collapsed="false">
      <c r="A9" s="5" t="s">
        <v>124</v>
      </c>
      <c r="B9" s="5" t="n">
        <f aca="false">COUNTIFS(Evidence!$H$2:$H$36,$A9,Evidence!$J$2:$J$36,B$7)</f>
        <v>0</v>
      </c>
      <c r="C9" s="5" t="n">
        <f aca="false">COUNTIFS(Evidence!$H$2:$H$36,$A9,Evidence!$J$2:$J$36,C$7)</f>
        <v>1</v>
      </c>
      <c r="D9" s="5" t="n">
        <f aca="false">COUNTIFS(Evidence!$H$2:$H$36,$A9,Evidence!$J$2:$J$36,D$7)</f>
        <v>5</v>
      </c>
    </row>
    <row r="10" customFormat="false" ht="15" hidden="false" customHeight="false" outlineLevel="0" collapsed="false">
      <c r="A10" s="5" t="s">
        <v>133</v>
      </c>
      <c r="B10" s="5" t="n">
        <f aca="false">COUNTIFS(Evidence!$H$2:$H$36,$A10,Evidence!$J$2:$J$36,B$7)</f>
        <v>0</v>
      </c>
      <c r="C10" s="5" t="n">
        <f aca="false">COUNTIFS(Evidence!$H$2:$H$36,$A10,Evidence!$J$2:$J$36,C$7)</f>
        <v>1</v>
      </c>
      <c r="D10" s="5" t="n">
        <f aca="false">COUNTIFS(Evidence!$H$2:$H$36,$A10,Evidence!$J$2:$J$36,D$7)</f>
        <v>3</v>
      </c>
    </row>
    <row r="11" customFormat="false" ht="15" hidden="false" customHeight="false" outlineLevel="0" collapsed="false">
      <c r="A11" s="5" t="s">
        <v>20</v>
      </c>
      <c r="B11" s="5" t="n">
        <f aca="false">COUNTIFS(Evidence!$H$2:$H$36,$A11,Evidence!$J$2:$J$36,B$7)</f>
        <v>5</v>
      </c>
      <c r="C11" s="5" t="n">
        <f aca="false">COUNTIFS(Evidence!$H$2:$H$36,$A11,Evidence!$J$2:$J$36,C$7)</f>
        <v>3</v>
      </c>
      <c r="D11" s="5" t="n">
        <f aca="false">COUNTIFS(Evidence!$H$2:$H$36,$A11,Evidence!$J$2:$J$36,D$7)</f>
        <v>9</v>
      </c>
    </row>
    <row r="12" customFormat="false" ht="15" hidden="false" customHeight="false" outlineLevel="0" collapsed="false">
      <c r="A12" s="5" t="s">
        <v>143</v>
      </c>
      <c r="B12" s="5" t="n">
        <f aca="false">COUNTIFS(Evidence!$H$2:$H$36,$A12,Evidence!$J$2:$J$36,B$7)</f>
        <v>0</v>
      </c>
      <c r="C12" s="5" t="n">
        <f aca="false">COUNTIFS(Evidence!$H$2:$H$36,$A12,Evidence!$J$2:$J$36,C$7)</f>
        <v>3</v>
      </c>
      <c r="D12" s="5" t="n">
        <f aca="false">COUNTIFS(Evidence!$H$2:$H$36,$A12,Evidence!$J$2:$J$36,D$7)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7" t="s">
        <v>275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276</v>
      </c>
    </row>
    <row r="4" customFormat="false" ht="15" hidden="false" customHeight="false" outlineLevel="0" collapsed="false">
      <c r="A4" s="8" t="s">
        <v>277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278</v>
      </c>
    </row>
    <row r="7" customFormat="false" ht="15" hidden="false" customHeight="false" outlineLevel="0" collapsed="false">
      <c r="A7" s="8" t="s">
        <v>279</v>
      </c>
    </row>
    <row r="8" customFormat="false" ht="15" hidden="false" customHeight="false" outlineLevel="0" collapsed="false">
      <c r="A8" s="8" t="s">
        <v>280</v>
      </c>
    </row>
    <row r="9" customFormat="false" ht="23.85" hidden="false" customHeight="false" outlineLevel="0" collapsed="false">
      <c r="A9" s="8" t="s">
        <v>281</v>
      </c>
    </row>
    <row r="10" customFormat="false" ht="15" hidden="false" customHeight="false" outlineLevel="0" collapsed="false">
      <c r="A10" s="8"/>
    </row>
    <row r="11" customFormat="false" ht="15" hidden="false" customHeight="false" outlineLevel="0" collapsed="false">
      <c r="A11" s="8" t="s">
        <v>282</v>
      </c>
    </row>
    <row r="12" customFormat="false" ht="15" hidden="false" customHeight="false" outlineLevel="0" collapsed="false">
      <c r="A12" s="8" t="s">
        <v>283</v>
      </c>
    </row>
    <row r="13" customFormat="false" ht="23.85" hidden="false" customHeight="false" outlineLevel="0" collapsed="false">
      <c r="A13" s="8" t="s">
        <v>284</v>
      </c>
    </row>
    <row r="14" customFormat="false" ht="15" hidden="false" customHeight="false" outlineLevel="0" collapsed="false">
      <c r="A14" s="8" t="s">
        <v>285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8" t="s">
        <v>286</v>
      </c>
    </row>
    <row r="17" customFormat="false" ht="15" hidden="false" customHeight="false" outlineLevel="0" collapsed="false">
      <c r="A17" s="8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2026-10-24T14:27:25Z</dcterms:created>
  <dc:creator>openpyxl</dc:creator>
  <dc:description/>
  <dc:language>en-US</dc:language>
  <cp:lastModifiedBy/>
  <dcterms:modified xsi:type="dcterms:W3CDTF">2026-10-24T14:27:25Z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